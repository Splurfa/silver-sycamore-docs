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INDEX" sheetId="1" state="visible" r:id="rId1"/>
    <sheet name="DASHBOARD" sheetId="2" state="visible" r:id="rId2"/>
    <sheet name="LOGINS" sheetId="3" state="visible" r:id="rId3"/>
    <sheet name="PEOPLE" sheetId="4" state="visible" r:id="rId4"/>
    <sheet name="VENDORS" sheetId="5" state="visible" r:id="rId5"/>
    <sheet name="VENUES" sheetId="6" state="visible" r:id="rId6"/>
    <sheet name="SYSTEMS" sheetId="7" state="visible" r:id="rId7"/>
    <sheet name="WEDDING_PACKAGES" sheetId="8" state="visible" r:id="rId8"/>
    <sheet name="EVENT_PACKAGES" sheetId="9" state="visible" r:id="rId9"/>
    <sheet name="CATERING" sheetId="10" state="visible" r:id="rId10"/>
    <sheet name="BAR" sheetId="11" state="visible" r:id="rId11"/>
    <sheet name="ADD_ONS" sheetId="12" state="visible" r:id="rId12"/>
    <sheet name="FORMS" sheetId="13" state="visible" r:id="rId13"/>
    <sheet name="DOCUMENTS" sheetId="14" state="visible" r:id="rId14"/>
    <sheet name="INITIATIVES" sheetId="15" state="visible" r:id="rId15"/>
    <sheet name="REFERENCE" sheetId="16" state="visible" r:id="rId16"/>
    <sheet name="PACKAGE_DETAILS" sheetId="17" state="visible" r:id="rId17"/>
    <sheet name="DOCUMENT_LIBR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666666"/>
    </font>
    <font>
      <b val="1"/>
      <sz val="14"/>
    </font>
    <font>
      <color rgb="000563C1"/>
      <u val="single"/>
    </font>
    <font>
      <b val="1"/>
      <color rgb="00FFFFFF"/>
      <sz val="11"/>
    </font>
    <font>
      <b val="1"/>
    </font>
    <font>
      <b val="1"/>
      <sz val="12"/>
    </font>
    <font>
      <b val="1"/>
      <color rgb="00FFFFFF"/>
    </font>
    <font>
      <b val="1"/>
      <color rgb="00C00000"/>
    </font>
    <font>
      <b val="1"/>
      <color rgb="00FF6600"/>
    </font>
    <font>
      <b val="1"/>
      <color rgb="000066CC"/>
    </font>
    <font>
      <b val="1"/>
      <color rgb="00008000"/>
    </font>
    <font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3D3D3"/>
        <bgColor rgb="00D3D3D3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3" borderId="0" pivotButton="0" quotePrefix="0" xfId="0"/>
    <xf numFmtId="0" fontId="8" fillId="4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splurfa.github.io/silver-sycamore-docs/services/wedding-packages/package-salon-town-merry" TargetMode="External" Id="rId1" /><Relationship Type="http://schemas.openxmlformats.org/officeDocument/2006/relationships/hyperlink" Target="https://splurfa.github.io/silver-sycamore-docs/services/wedding-packages/package-simple-elegance" TargetMode="External" Id="rId2" /><Relationship Type="http://schemas.openxmlformats.org/officeDocument/2006/relationships/hyperlink" Target="https://splurfa.github.io/silver-sycamore-docs/services/wedding-packages/package-food-truck" TargetMode="External" Id="rId3" /><Relationship Type="http://schemas.openxmlformats.org/officeDocument/2006/relationships/hyperlink" Target="https://splurfa.github.io/silver-sycamore-docs/services/wedding-packages/package-dream" TargetMode="External" Id="rId4" /><Relationship Type="http://schemas.openxmlformats.org/officeDocument/2006/relationships/hyperlink" Target="https://splurfa.github.io/silver-sycamore-docs/services/wedding-packages/package-reception-only" TargetMode="External" Id="rId5" /></Relationships>
</file>

<file path=xl/worksheets/_rels/sheet9.xml.rels><Relationships xmlns="http://schemas.openxmlformats.org/package/2006/relationships"><Relationship Type="http://schemas.openxmlformats.org/officeDocument/2006/relationships/hyperlink" Target="https://splurfa.github.io/silver-sycamore-docs/services/event-packages/packages-reception-hall" TargetMode="External" Id="rId1" /><Relationship Type="http://schemas.openxmlformats.org/officeDocument/2006/relationships/hyperlink" Target="https://splurfa.github.io/silver-sycamore-docs/services/event-packages/package-salon-banquet" TargetMode="External" Id="rId2" /><Relationship Type="http://schemas.openxmlformats.org/officeDocument/2006/relationships/hyperlink" Target="https://splurfa.github.io/silver-sycamore-docs/services/event-packages/salon-party-packages" TargetMode="External" Id="rId3" /><Relationship Type="http://schemas.openxmlformats.org/officeDocument/2006/relationships/hyperlink" Target="https://splurfa.github.io/silver-sycamore-docs/services/event-packages/proposal-company-picnic" TargetMode="External" Id="rId4" /></Relationships>
</file>

<file path=xl/worksheets/_rels/sheet10.xml.rels><Relationships xmlns="http://schemas.openxmlformats.org/package/2006/relationships"><Relationship Type="http://schemas.openxmlformats.org/officeDocument/2006/relationships/hyperlink" Target="https://splurfa.github.io/silver-sycamore-docs/services/catering/catering-menu" TargetMode="External" Id="rId1" /><Relationship Type="http://schemas.openxmlformats.org/officeDocument/2006/relationships/hyperlink" Target="https://splurfa.github.io/silver-sycamore-docs/services/catering/catering-menu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splurfa.github.io/silver-sycamore-docs/services/add-ons/addons-wedding" TargetMode="External" Id="rId1" /><Relationship Type="http://schemas.openxmlformats.org/officeDocument/2006/relationships/hyperlink" Target="https://splurfa.github.io/silver-sycamore-docs/services/add-ons/packages-salon-parties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splurfa.github.io/silver-sycamore-docs/staff/hr/hr-forms" TargetMode="External" Id="rId1" /><Relationship Type="http://schemas.openxmlformats.org/officeDocument/2006/relationships/hyperlink" Target="https://splurfa.github.io/silver-sycamore-docs/staff/hr/hr-forms" TargetMode="External" Id="rId2" /><Relationship Type="http://schemas.openxmlformats.org/officeDocument/2006/relationships/hyperlink" Target="https://splurfa.github.io/silver-sycamore-docs/clients/booking/booking-form-wedding" TargetMode="External" Id="rId3" /><Relationship Type="http://schemas.openxmlformats.org/officeDocument/2006/relationships/hyperlink" Target="https://splurfa.github.io/silver-sycamore-docs/clients/booking/booking-form-wedding" TargetMode="External" Id="rId4" /><Relationship Type="http://schemas.openxmlformats.org/officeDocument/2006/relationships/hyperlink" Target="https://splurfa.github.io/silver-sycamore-docs/clients/booking/booking-form-corporate" TargetMode="External" Id="rId5" /><Relationship Type="http://schemas.openxmlformats.org/officeDocument/2006/relationships/hyperlink" Target="https://splurfa.github.io/silver-sycamore-docs/clients/booking/booking-form-shower" TargetMode="External" Id="rId6" /></Relationships>
</file>

<file path=xl/worksheets/_rels/sheet14.xml.rels><Relationships xmlns="http://schemas.openxmlformats.org/package/2006/relationships"><Relationship Type="http://schemas.openxmlformats.org/officeDocument/2006/relationships/hyperlink" Target="https://splurfa.github.io/silver-sycamore-docs/staff/training/training-program" TargetMode="External" Id="rId1" /><Relationship Type="http://schemas.openxmlformats.org/officeDocument/2006/relationships/hyperlink" Target="https://splurfa.github.io/silver-sycamore-docs/staff/procedures/service-protocols" TargetMode="External" Id="rId2" /><Relationship Type="http://schemas.openxmlformats.org/officeDocument/2006/relationships/hyperlink" Target="https://splurfa.github.io/silver-sycamore-docs/staff/procedures/closing-procedures" TargetMode="External" Id="rId3" /><Relationship Type="http://schemas.openxmlformats.org/officeDocument/2006/relationships/hyperlink" Target="https://splurfa.github.io/silver-sycamore-docs/staff/procedures/closing-procedures" TargetMode="External" Id="rId4" /><Relationship Type="http://schemas.openxmlformats.org/officeDocument/2006/relationships/hyperlink" Target="https://splurfa.github.io/silver-sycamore-docs/staff/procedures/service-protocols" TargetMode="External" Id="rId5" /><Relationship Type="http://schemas.openxmlformats.org/officeDocument/2006/relationships/hyperlink" Target="https://splurfa.github.io/silver-sycamore-docs/staff/procedures/closing-procedures" TargetMode="External" Id="rId6" /><Relationship Type="http://schemas.openxmlformats.org/officeDocument/2006/relationships/hyperlink" Target="https://splurfa.github.io/silver-sycamore-docs/operations/facilities/maintenance-schedule" TargetMode="External" Id="rId7" /><Relationship Type="http://schemas.openxmlformats.org/officeDocument/2006/relationships/hyperlink" Target="https://splurfa.github.io/silver-sycamore-docs/staff/training/training-manual" TargetMode="External" Id="rId8" /><Relationship Type="http://schemas.openxmlformats.org/officeDocument/2006/relationships/hyperlink" Target="https://splurfa.github.io/silver-sycamore-docs/staff/training/sales-script" TargetMode="External" Id="rId9" /><Relationship Type="http://schemas.openxmlformats.org/officeDocument/2006/relationships/hyperlink" Target="https://splurfa.github.io/silver-sycamore-docs/staff/procedures/phone-system-guide" TargetMode="External" Id="rId10" /></Relationships>
</file>

<file path=xl/worksheets/_rels/sheet18.xml.rels><Relationships xmlns="http://schemas.openxmlformats.org/package/2006/relationships"><Relationship Type="http://schemas.openxmlformats.org/officeDocument/2006/relationships/hyperlink" Target="https://splurfa.github.io/silver-sycamore-docs/clients/booking/booking-form-wedding" TargetMode="External" Id="rId1" /><Relationship Type="http://schemas.openxmlformats.org/officeDocument/2006/relationships/hyperlink" Target="https://splurfa.github.io/silver-sycamore-docs/clients/booking/booking-form-corporate" TargetMode="External" Id="rId2" /><Relationship Type="http://schemas.openxmlformats.org/officeDocument/2006/relationships/hyperlink" Target="https://splurfa.github.io/silver-sycamore-docs/clients/booking/booking-form-shower" TargetMode="External" Id="rId3" /><Relationship Type="http://schemas.openxmlformats.org/officeDocument/2006/relationships/hyperlink" Target="https://splurfa.github.io/silver-sycamore-docs/clients/booking/contract-package-shower" TargetMode="External" Id="rId4" /><Relationship Type="http://schemas.openxmlformats.org/officeDocument/2006/relationships/hyperlink" Target="https://splurfa.github.io/silver-sycamore-docs/services/wedding-packages/package-salon-town-merry" TargetMode="External" Id="rId5" /><Relationship Type="http://schemas.openxmlformats.org/officeDocument/2006/relationships/hyperlink" Target="https://splurfa.github.io/silver-sycamore-docs/services/wedding-packages/package-simple-elegance" TargetMode="External" Id="rId6" /><Relationship Type="http://schemas.openxmlformats.org/officeDocument/2006/relationships/hyperlink" Target="https://splurfa.github.io/silver-sycamore-docs/services/wedding-packages/package-food-truck" TargetMode="External" Id="rId7" /><Relationship Type="http://schemas.openxmlformats.org/officeDocument/2006/relationships/hyperlink" Target="https://splurfa.github.io/silver-sycamore-docs/services/wedding-packages/package-dream" TargetMode="External" Id="rId8" /><Relationship Type="http://schemas.openxmlformats.org/officeDocument/2006/relationships/hyperlink" Target="https://splurfa.github.io/silver-sycamore-docs/services/wedding-packages/package-reception-only" TargetMode="External" Id="rId9" /><Relationship Type="http://schemas.openxmlformats.org/officeDocument/2006/relationships/hyperlink" Target="https://splurfa.github.io/silver-sycamore-docs/services/event-packages/packages-reception-hall" TargetMode="External" Id="rId10" /><Relationship Type="http://schemas.openxmlformats.org/officeDocument/2006/relationships/hyperlink" Target="https://splurfa.github.io/silver-sycamore-docs/services/event-packages/package-salon-banquet" TargetMode="External" Id="rId11" /><Relationship Type="http://schemas.openxmlformats.org/officeDocument/2006/relationships/hyperlink" Target="https://splurfa.github.io/silver-sycamore-docs/services/event-packages/salon-party-packages" TargetMode="External" Id="rId12" /><Relationship Type="http://schemas.openxmlformats.org/officeDocument/2006/relationships/hyperlink" Target="https://splurfa.github.io/silver-sycamore-docs/services/event-packages/proposal-company-picnic" TargetMode="External" Id="rId13" /><Relationship Type="http://schemas.openxmlformats.org/officeDocument/2006/relationships/hyperlink" Target="https://splurfa.github.io/silver-sycamore-docs/services/catering/catering-menu" TargetMode="External" Id="rId14" /><Relationship Type="http://schemas.openxmlformats.org/officeDocument/2006/relationships/hyperlink" Target="https://splurfa.github.io/silver-sycamore-docs/services/add-ons/addons-wedding" TargetMode="External" Id="rId15" /><Relationship Type="http://schemas.openxmlformats.org/officeDocument/2006/relationships/hyperlink" Target="https://splurfa.github.io/silver-sycamore-docs/services/add-ons/packages-salon-parties" TargetMode="External" Id="rId16" /><Relationship Type="http://schemas.openxmlformats.org/officeDocument/2006/relationships/hyperlink" Target="https://splurfa.github.io/silver-sycamore-docs/staff/training/training-program" TargetMode="External" Id="rId17" /><Relationship Type="http://schemas.openxmlformats.org/officeDocument/2006/relationships/hyperlink" Target="https://splurfa.github.io/silver-sycamore-docs/staff/training/training-manual" TargetMode="External" Id="rId18" /><Relationship Type="http://schemas.openxmlformats.org/officeDocument/2006/relationships/hyperlink" Target="https://splurfa.github.io/silver-sycamore-docs/staff/training/training-schedule" TargetMode="External" Id="rId19" /><Relationship Type="http://schemas.openxmlformats.org/officeDocument/2006/relationships/hyperlink" Target="https://splurfa.github.io/silver-sycamore-docs/staff/training/sales-script" TargetMode="External" Id="rId20" /><Relationship Type="http://schemas.openxmlformats.org/officeDocument/2006/relationships/hyperlink" Target="https://splurfa.github.io/silver-sycamore-docs/staff/procedures/service-protocols" TargetMode="External" Id="rId21" /><Relationship Type="http://schemas.openxmlformats.org/officeDocument/2006/relationships/hyperlink" Target="https://splurfa.github.io/silver-sycamore-docs/staff/procedures/closing-procedures" TargetMode="External" Id="rId22" /><Relationship Type="http://schemas.openxmlformats.org/officeDocument/2006/relationships/hyperlink" Target="https://splurfa.github.io/silver-sycamore-docs/staff/procedures/phone-system-guide" TargetMode="External" Id="rId23" /><Relationship Type="http://schemas.openxmlformats.org/officeDocument/2006/relationships/hyperlink" Target="https://splurfa.github.io/silver-sycamore-docs/staff/hr/hr-forms" TargetMode="External" Id="rId24" /><Relationship Type="http://schemas.openxmlformats.org/officeDocument/2006/relationships/hyperlink" Target="https://splurfa.github.io/silver-sycamore-docs/operations/facilities/maintenance-schedule" TargetMode="External" Id="rId25" /><Relationship Type="http://schemas.openxmlformats.org/officeDocument/2006/relationships/hyperlink" Target="https://splurfa.github.io/silver-sycamore-docs/CATALOG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2" customWidth="1" min="4" max="4"/>
    <col width="25" customWidth="1" min="5" max="5"/>
    <col width="15" customWidth="1" min="6" max="6"/>
    <col width="40" customWidth="1" min="7" max="7"/>
    <col width="30" customWidth="1" min="8" max="8"/>
    <col width="20" customWidth="1" min="9" max="9"/>
  </cols>
  <sheetData>
    <row r="1">
      <c r="A1" s="11" t="inlineStr">
        <is>
          <t>Asset Name</t>
        </is>
      </c>
      <c r="B1" s="11" t="inlineStr">
        <is>
          <t>Type</t>
        </is>
      </c>
      <c r="C1" s="11" t="inlineStr">
        <is>
          <t>Convex Table</t>
        </is>
      </c>
      <c r="D1" s="11" t="inlineStr">
        <is>
          <t>Convex Count</t>
        </is>
      </c>
      <c r="E1" s="11" t="inlineStr">
        <is>
          <t>Spreadsheet Sheet</t>
        </is>
      </c>
      <c r="F1" s="11" t="inlineStr">
        <is>
          <t>Spreadsheet Rows</t>
        </is>
      </c>
      <c r="G1" s="11" t="inlineStr">
        <is>
          <t>Artifact Path</t>
        </is>
      </c>
      <c r="H1" s="11" t="inlineStr">
        <is>
          <t>Source Material</t>
        </is>
      </c>
      <c r="I1" s="11" t="inlineStr">
        <is>
          <t>Status</t>
        </is>
      </c>
    </row>
    <row r="2">
      <c r="A2" t="inlineStr">
        <is>
          <t>LOGINS</t>
        </is>
      </c>
      <c r="B2" t="inlineStr">
        <is>
          <t>Login</t>
        </is>
      </c>
      <c r="C2" t="inlineStr">
        <is>
          <t>logins</t>
        </is>
      </c>
      <c r="D2" t="n">
        <v>78</v>
      </c>
      <c r="E2" t="inlineStr">
        <is>
          <t>LOGINS</t>
        </is>
      </c>
      <c r="F2" t="n">
        <v>76</v>
      </c>
      <c r="G2" t="inlineStr">
        <is>
          <t>—</t>
        </is>
      </c>
      <c r="H2" t="inlineStr">
        <is>
          <t>—</t>
        </is>
      </c>
      <c r="I2" s="12" t="inlineStr">
        <is>
          <t>❌ DUPLICATE (-2)</t>
        </is>
      </c>
    </row>
    <row r="3">
      <c r="A3" t="inlineStr">
        <is>
          <t>PEOPLE</t>
        </is>
      </c>
      <c r="B3" t="inlineStr">
        <is>
          <t>Person</t>
        </is>
      </c>
      <c r="C3" t="inlineStr">
        <is>
          <t>people</t>
        </is>
      </c>
      <c r="D3" t="n">
        <v>16</v>
      </c>
      <c r="E3" t="inlineStr">
        <is>
          <t>PEOPLE</t>
        </is>
      </c>
      <c r="F3" t="n">
        <v>15</v>
      </c>
      <c r="G3" t="inlineStr">
        <is>
          <t>discovery/company/people.md</t>
        </is>
      </c>
      <c r="H3" t="inlineStr">
        <is>
          <t>2026-01-05 binder</t>
        </is>
      </c>
      <c r="I3" s="12" t="inlineStr">
        <is>
          <t>❌ DUPLICATE (-1)</t>
        </is>
      </c>
    </row>
    <row r="4">
      <c r="A4" t="inlineStr">
        <is>
          <t>VENDORS</t>
        </is>
      </c>
      <c r="B4" t="inlineStr">
        <is>
          <t>Vendor</t>
        </is>
      </c>
      <c r="C4" t="inlineStr">
        <is>
          <t>vendors</t>
        </is>
      </c>
      <c r="D4" t="n">
        <v>49</v>
      </c>
      <c r="E4" t="inlineStr">
        <is>
          <t>VENDORS</t>
        </is>
      </c>
      <c r="F4" t="n">
        <v>48</v>
      </c>
      <c r="G4" t="inlineStr">
        <is>
          <t>discovery/products/product-catalog.md</t>
        </is>
      </c>
      <c r="H4" t="inlineStr">
        <is>
          <t>2026-01-05 binder</t>
        </is>
      </c>
      <c r="I4" s="12" t="inlineStr">
        <is>
          <t>❌ DUPLICATE (-1)</t>
        </is>
      </c>
    </row>
    <row r="5">
      <c r="A5" t="inlineStr">
        <is>
          <t>SPACES</t>
        </is>
      </c>
      <c r="B5" t="inlineStr">
        <is>
          <t>Space</t>
        </is>
      </c>
      <c r="C5" t="inlineStr">
        <is>
          <t>spaces</t>
        </is>
      </c>
      <c r="D5" t="n">
        <v>14</v>
      </c>
      <c r="E5" t="inlineStr">
        <is>
          <t>VENUES</t>
        </is>
      </c>
      <c r="F5" t="n">
        <v>13</v>
      </c>
      <c r="G5" t="inlineStr">
        <is>
          <t>discovery/operations/venue-spaces.md</t>
        </is>
      </c>
      <c r="H5" t="inlineStr">
        <is>
          <t>2026-01-02/05</t>
        </is>
      </c>
      <c r="I5" s="12" t="inlineStr">
        <is>
          <t>❌ DUPLICATE (-1)</t>
        </is>
      </c>
    </row>
    <row r="6">
      <c r="A6" t="inlineStr">
        <is>
          <t>SYSTEMS</t>
        </is>
      </c>
      <c r="B6" t="inlineStr">
        <is>
          <t>System</t>
        </is>
      </c>
      <c r="C6" t="inlineStr">
        <is>
          <t>systems</t>
        </is>
      </c>
      <c r="D6" t="n">
        <v>15</v>
      </c>
      <c r="E6" t="inlineStr">
        <is>
          <t>SYSTEMS</t>
        </is>
      </c>
      <c r="F6" t="n">
        <v>14</v>
      </c>
      <c r="G6" t="inlineStr">
        <is>
          <t>—</t>
        </is>
      </c>
      <c r="H6" t="inlineStr">
        <is>
          <t>—</t>
        </is>
      </c>
      <c r="I6" s="12" t="inlineStr">
        <is>
          <t>❌ DUPLICATE (-1)</t>
        </is>
      </c>
    </row>
    <row r="7">
      <c r="A7" t="inlineStr">
        <is>
          <t>WEDDING PACKAGES</t>
        </is>
      </c>
      <c r="B7" t="inlineStr">
        <is>
          <t>Package</t>
        </is>
      </c>
      <c r="C7" t="inlineStr">
        <is>
          <t>weddingPackages</t>
        </is>
      </c>
      <c r="D7" t="n">
        <v>8</v>
      </c>
      <c r="E7" t="inlineStr">
        <is>
          <t>WEDDING_PACKAGES</t>
        </is>
      </c>
      <c r="F7" t="n">
        <v>5</v>
      </c>
      <c r="G7" t="inlineStr">
        <is>
          <t>—</t>
        </is>
      </c>
      <c r="H7" t="inlineStr">
        <is>
          <t>2026-01-02 templates</t>
        </is>
      </c>
      <c r="I7" s="12" t="inlineStr">
        <is>
          <t>❌ DUPLICATE (-3)</t>
        </is>
      </c>
    </row>
    <row r="8">
      <c r="A8" t="inlineStr">
        <is>
          <t>EVENT PACKAGES</t>
        </is>
      </c>
      <c r="B8" t="inlineStr">
        <is>
          <t>Package</t>
        </is>
      </c>
      <c r="C8" t="inlineStr">
        <is>
          <t>eventPackages</t>
        </is>
      </c>
      <c r="D8" t="n">
        <v>13</v>
      </c>
      <c r="E8" t="inlineStr">
        <is>
          <t>EVENT_PACKAGES</t>
        </is>
      </c>
      <c r="F8" t="n">
        <v>12</v>
      </c>
      <c r="G8" t="inlineStr">
        <is>
          <t>—</t>
        </is>
      </c>
      <c r="H8" t="inlineStr">
        <is>
          <t>2026-01-02 templates</t>
        </is>
      </c>
      <c r="I8" s="12" t="inlineStr">
        <is>
          <t>❌ DUPLICATE (-1)</t>
        </is>
      </c>
    </row>
    <row r="9">
      <c r="A9" t="inlineStr">
        <is>
          <t>CATERING MENUS</t>
        </is>
      </c>
      <c r="B9" t="inlineStr">
        <is>
          <t>Menu</t>
        </is>
      </c>
      <c r="C9" t="inlineStr">
        <is>
          <t>cateringMenus</t>
        </is>
      </c>
      <c r="D9" t="n">
        <v>11</v>
      </c>
      <c r="E9" t="inlineStr">
        <is>
          <t>CATERING</t>
        </is>
      </c>
      <c r="F9" t="n">
        <v>7</v>
      </c>
      <c r="G9" t="inlineStr">
        <is>
          <t>discovery/products/catering-overview.md</t>
        </is>
      </c>
      <c r="H9" t="inlineStr">
        <is>
          <t>2026-01-05 binder</t>
        </is>
      </c>
      <c r="I9" s="12" t="inlineStr">
        <is>
          <t>❌ DUPLICATE (-4)</t>
        </is>
      </c>
    </row>
    <row r="10">
      <c r="A10" t="inlineStr">
        <is>
          <t>BAR PACKAGES</t>
        </is>
      </c>
      <c r="B10" t="inlineStr">
        <is>
          <t>Package</t>
        </is>
      </c>
      <c r="C10" t="inlineStr">
        <is>
          <t>barPackages</t>
        </is>
      </c>
      <c r="D10" t="n">
        <v>12</v>
      </c>
      <c r="E10" t="inlineStr">
        <is>
          <t>BAR</t>
        </is>
      </c>
      <c r="F10" t="n">
        <v>7</v>
      </c>
      <c r="G10" t="inlineStr">
        <is>
          <t>—</t>
        </is>
      </c>
      <c r="H10" t="inlineStr">
        <is>
          <t>2026-01-05 binder</t>
        </is>
      </c>
      <c r="I10" s="12" t="inlineStr">
        <is>
          <t>❌ DUPLICATE (-5)</t>
        </is>
      </c>
    </row>
    <row r="11">
      <c r="A11" t="inlineStr">
        <is>
          <t>ADD-ONS</t>
        </is>
      </c>
      <c r="B11" t="inlineStr">
        <is>
          <t>Service</t>
        </is>
      </c>
      <c r="C11" t="inlineStr">
        <is>
          <t>addOns</t>
        </is>
      </c>
      <c r="D11" t="n">
        <v>35</v>
      </c>
      <c r="E11" t="inlineStr">
        <is>
          <t>ADD_ONS</t>
        </is>
      </c>
      <c r="F11" t="n">
        <v>15</v>
      </c>
      <c r="G11" t="inlineStr">
        <is>
          <t>—</t>
        </is>
      </c>
      <c r="H11" t="inlineStr">
        <is>
          <t>2026-01-02/05</t>
        </is>
      </c>
      <c r="I11" s="12" t="inlineStr">
        <is>
          <t>❌ DUPLICATE (-20)</t>
        </is>
      </c>
    </row>
    <row r="12">
      <c r="A12" t="inlineStr">
        <is>
          <t>FORMS</t>
        </is>
      </c>
      <c r="B12" t="inlineStr">
        <is>
          <t>Form</t>
        </is>
      </c>
      <c r="C12" t="inlineStr">
        <is>
          <t>forms</t>
        </is>
      </c>
      <c r="D12" t="n">
        <v>5</v>
      </c>
      <c r="E12" t="inlineStr">
        <is>
          <t>FORMS</t>
        </is>
      </c>
      <c r="F12" t="n">
        <v>6</v>
      </c>
      <c r="G12" t="inlineStr">
        <is>
          <t>discovery/operations/, document-catalogs/</t>
        </is>
      </c>
      <c r="H12" t="inlineStr">
        <is>
          <t>2026-01-12 ops</t>
        </is>
      </c>
      <c r="I12" s="13" t="inlineStr">
        <is>
          <t>⚠️ NEEDS SYNC (+1 Excel)</t>
        </is>
      </c>
    </row>
    <row r="13">
      <c r="A13" t="inlineStr">
        <is>
          <t>DOCUMENTS</t>
        </is>
      </c>
      <c r="B13" t="inlineStr">
        <is>
          <t>Document</t>
        </is>
      </c>
      <c r="C13" t="inlineStr">
        <is>
          <t>documents</t>
        </is>
      </c>
      <c r="D13" t="n">
        <v>23</v>
      </c>
      <c r="E13" t="inlineStr">
        <is>
          <t>DOCUMENTS</t>
        </is>
      </c>
      <c r="F13" t="n">
        <v>22</v>
      </c>
      <c r="G13" t="inlineStr">
        <is>
          <t>document-catalogs/ (4 files)</t>
        </is>
      </c>
      <c r="H13" t="inlineStr">
        <is>
          <t>2026-01-02/05/12</t>
        </is>
      </c>
      <c r="I13" s="13" t="inlineStr">
        <is>
          <t>⚠️ NEEDS SYNC (-1 Excel)</t>
        </is>
      </c>
    </row>
    <row r="14">
      <c r="A14" t="inlineStr">
        <is>
          <t>CONTRACTS</t>
        </is>
      </c>
      <c r="B14" t="inlineStr">
        <is>
          <t>Contract</t>
        </is>
      </c>
      <c r="C14" t="inlineStr">
        <is>
          <t>contracts</t>
        </is>
      </c>
      <c r="D14" t="n">
        <v>3</v>
      </c>
      <c r="E14" t="inlineStr">
        <is>
          <t>—</t>
        </is>
      </c>
      <c r="F14" t="n">
        <v>0</v>
      </c>
      <c r="G14" t="inlineStr">
        <is>
          <t>—</t>
        </is>
      </c>
      <c r="H14" t="inlineStr">
        <is>
          <t>2026-01-05 binder</t>
        </is>
      </c>
      <c r="I14" s="14" t="inlineStr">
        <is>
          <t>🔍 GAP (Convex only)</t>
        </is>
      </c>
    </row>
    <row r="15">
      <c r="A15" t="inlineStr">
        <is>
          <t>DOMAINS</t>
        </is>
      </c>
      <c r="B15" t="inlineStr">
        <is>
          <t>Domain</t>
        </is>
      </c>
      <c r="C15" t="inlineStr">
        <is>
          <t>domains</t>
        </is>
      </c>
      <c r="D15" t="n">
        <v>4</v>
      </c>
      <c r="E15" t="inlineStr">
        <is>
          <t>—</t>
        </is>
      </c>
      <c r="F15" t="n">
        <v>0</v>
      </c>
      <c r="G15" t="inlineStr">
        <is>
          <t>—</t>
        </is>
      </c>
      <c r="H15" t="inlineStr">
        <is>
          <t>—</t>
        </is>
      </c>
      <c r="I15" s="14" t="inlineStr">
        <is>
          <t>🔍 GAP (Convex only)</t>
        </is>
      </c>
    </row>
    <row r="16">
      <c r="A16" t="inlineStr">
        <is>
          <t>RECIPES</t>
        </is>
      </c>
      <c r="B16" t="inlineStr">
        <is>
          <t>Recipe</t>
        </is>
      </c>
      <c r="C16" t="inlineStr">
        <is>
          <t>recipes</t>
        </is>
      </c>
      <c r="D16" t="n">
        <v>278</v>
      </c>
      <c r="E16" t="inlineStr">
        <is>
          <t>—</t>
        </is>
      </c>
      <c r="F16" t="n">
        <v>0</v>
      </c>
      <c r="G16" t="inlineStr">
        <is>
          <t>—</t>
        </is>
      </c>
      <c r="H16" t="inlineStr">
        <is>
          <t>2026-01-06 images (140 HEIC)</t>
        </is>
      </c>
      <c r="I16" s="15" t="inlineStr">
        <is>
          <t>✅ SYNCED</t>
        </is>
      </c>
    </row>
    <row r="17">
      <c r="A17" t="inlineStr">
        <is>
          <t>RECIPE CATEGORIES</t>
        </is>
      </c>
      <c r="B17" t="inlineStr">
        <is>
          <t>Category</t>
        </is>
      </c>
      <c r="C17" t="inlineStr">
        <is>
          <t>recipeCategories</t>
        </is>
      </c>
      <c r="D17" t="n">
        <v>9</v>
      </c>
      <c r="E17" t="inlineStr">
        <is>
          <t>—</t>
        </is>
      </c>
      <c r="F17" t="n">
        <v>0</v>
      </c>
      <c r="G17" t="inlineStr">
        <is>
          <t>—</t>
        </is>
      </c>
      <c r="H17" t="inlineStr">
        <is>
          <t>—</t>
        </is>
      </c>
      <c r="I17" s="15" t="inlineStr">
        <is>
          <t>✅ CURRENT</t>
        </is>
      </c>
    </row>
    <row r="18">
      <c r="A18" t="inlineStr">
        <is>
          <t>INITIATIVES</t>
        </is>
      </c>
      <c r="B18" t="inlineStr">
        <is>
          <t>Initiative</t>
        </is>
      </c>
      <c r="C18" t="inlineStr">
        <is>
          <t>—</t>
        </is>
      </c>
      <c r="D18" t="n">
        <v>0</v>
      </c>
      <c r="E18" t="inlineStr">
        <is>
          <t>INITIATIVES</t>
        </is>
      </c>
      <c r="F18" t="n">
        <v>5</v>
      </c>
      <c r="G18" t="inlineStr">
        <is>
          <t>initiatives/ (3 folders, 7 files)</t>
        </is>
      </c>
      <c r="H18" t="inlineStr">
        <is>
          <t>—</t>
        </is>
      </c>
      <c r="I18" s="15" t="inlineStr">
        <is>
          <t>✅ CURRENT</t>
        </is>
      </c>
    </row>
    <row r="19">
      <c r="A19" t="inlineStr">
        <is>
          <t>DASHBOARD METRICS</t>
        </is>
      </c>
      <c r="B19" t="inlineStr">
        <is>
          <t>Metric</t>
        </is>
      </c>
      <c r="C19" t="inlineStr">
        <is>
          <t>—</t>
        </is>
      </c>
      <c r="D19" t="n">
        <v>0</v>
      </c>
      <c r="E19" t="inlineStr">
        <is>
          <t>DASHBOARD</t>
        </is>
      </c>
      <c r="F19" t="n">
        <v>16</v>
      </c>
      <c r="G19" t="inlineStr">
        <is>
          <t>—</t>
        </is>
      </c>
      <c r="H19" t="inlineStr">
        <is>
          <t>—</t>
        </is>
      </c>
      <c r="I19" s="15" t="inlineStr">
        <is>
          <t>✅ CURRENT</t>
        </is>
      </c>
    </row>
    <row r="20">
      <c r="A20" t="inlineStr">
        <is>
          <t>REFERENCE DATA</t>
        </is>
      </c>
      <c r="B20" t="inlineStr">
        <is>
          <t>Reference</t>
        </is>
      </c>
      <c r="C20" t="inlineStr">
        <is>
          <t>—</t>
        </is>
      </c>
      <c r="D20" t="n">
        <v>0</v>
      </c>
      <c r="E20" t="inlineStr">
        <is>
          <t>REFERENCE</t>
        </is>
      </c>
      <c r="F20" t="n">
        <v>52</v>
      </c>
      <c r="G20" t="inlineStr">
        <is>
          <t>—</t>
        </is>
      </c>
      <c r="H20" t="inlineStr">
        <is>
          <t>—</t>
        </is>
      </c>
      <c r="I20" s="15" t="inlineStr">
        <is>
          <t>✅ CURRENT</t>
        </is>
      </c>
    </row>
    <row r="21">
      <c r="A21" t="inlineStr">
        <is>
          <t>PACKAGE DETAILS</t>
        </is>
      </c>
      <c r="B21" t="inlineStr">
        <is>
          <t>Reference</t>
        </is>
      </c>
      <c r="C21" t="inlineStr">
        <is>
          <t>—</t>
        </is>
      </c>
      <c r="D21" t="n">
        <v>0</v>
      </c>
      <c r="E21" t="inlineStr">
        <is>
          <t>PACKAGE_DETAILS</t>
        </is>
      </c>
      <c r="F21" t="n">
        <v>5</v>
      </c>
      <c r="G21" t="inlineStr">
        <is>
          <t>—</t>
        </is>
      </c>
      <c r="H21" t="inlineStr">
        <is>
          <t>—</t>
        </is>
      </c>
      <c r="I21" s="15" t="inlineStr">
        <is>
          <t>✅ CURRENT</t>
        </is>
      </c>
    </row>
    <row r="22">
      <c r="A22" t="inlineStr">
        <is>
          <t>AUDIT LOG</t>
        </is>
      </c>
      <c r="B22" t="inlineStr">
        <is>
          <t>Log</t>
        </is>
      </c>
      <c r="C22" t="inlineStr">
        <is>
          <t>auditLog</t>
        </is>
      </c>
      <c r="D22" t="n">
        <v>100</v>
      </c>
      <c r="E22" t="inlineStr">
        <is>
          <t>—</t>
        </is>
      </c>
      <c r="F22" t="n">
        <v>0</v>
      </c>
      <c r="G22" t="inlineStr">
        <is>
          <t>—</t>
        </is>
      </c>
      <c r="H22" t="inlineStr">
        <is>
          <t>—</t>
        </is>
      </c>
      <c r="I22" s="15" t="inlineStr">
        <is>
          <t>✅ CURRENT</t>
        </is>
      </c>
    </row>
    <row r="23"/>
    <row r="24"/>
    <row r="25">
      <c r="A25" t="inlineStr">
        <is>
          <t>Legend:</t>
        </is>
      </c>
    </row>
    <row r="26">
      <c r="A26" t="inlineStr">
        <is>
          <t>❌ DUPLICATE: Asset exists in both Convex and Excel with discrepancies</t>
        </is>
      </c>
    </row>
    <row r="27">
      <c r="A27" t="inlineStr">
        <is>
          <t>⚠️ NEEDS SYNC: Minor sync issues, close to aligned</t>
        </is>
      </c>
    </row>
    <row r="28">
      <c r="A28" t="inlineStr">
        <is>
          <t>🔍 GAP: Asset exists in only one system</t>
        </is>
      </c>
    </row>
    <row r="29">
      <c r="A29" t="inlineStr">
        <is>
          <t>✅ CURRENT/SYNCED: Systems aligned or intentionally separate</t>
        </is>
      </c>
    </row>
    <row r="30"/>
    <row r="31">
      <c r="A31" t="inlineStr">
        <is>
          <t>Negative numbers (e.g., -2): Excel missing records that exist in Convex</t>
        </is>
      </c>
    </row>
    <row r="32">
      <c r="A32" t="inlineStr">
        <is>
          <t>Positive numbers (e.g., +1): Convex missing records that exist in Excel</t>
        </is>
      </c>
    </row>
    <row r="33"/>
    <row r="34">
      <c r="A34" t="inlineStr">
        <is>
          <t>Generated: 2026-01-12</t>
        </is>
      </c>
    </row>
    <row r="35">
      <c r="A35" t="inlineStr">
        <is>
          <t>Source: engagement/artifacts/master-content-index.md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</cols>
  <sheetData>
    <row r="1">
      <c r="A1" s="1" t="inlineStr">
        <is>
          <t>Silver Sycamore Master Cortex</t>
        </is>
      </c>
    </row>
    <row r="2">
      <c r="A2" s="2" t="inlineStr">
        <is>
          <t>Last updated: 2026-01-10</t>
        </is>
      </c>
    </row>
    <row r="3"/>
    <row r="4">
      <c r="A4" s="3" t="inlineStr">
        <is>
          <t>Navigation</t>
        </is>
      </c>
      <c r="C4" s="3" t="inlineStr">
        <is>
          <t>Summary</t>
        </is>
      </c>
    </row>
    <row r="5">
      <c r="A5" s="4">
        <f>HYPERLINK("#LOGINS!A2", "LOGINS (75)")</f>
        <v/>
      </c>
      <c r="C5" t="inlineStr">
        <is>
          <t>Total Logins: 75</t>
        </is>
      </c>
    </row>
    <row r="6">
      <c r="A6" s="4">
        <f>HYPERLINK("#PEOPLE!A2", "PEOPLE (14)")</f>
        <v/>
      </c>
      <c r="C6" t="inlineStr">
        <is>
          <t>Total Vendors: 47</t>
        </is>
      </c>
    </row>
    <row r="7">
      <c r="A7" s="4">
        <f>HYPERLINK("#VENDORS!A2", "VENDORS (47)")</f>
        <v/>
      </c>
      <c r="C7" t="inlineStr">
        <is>
          <t>Total People: 14</t>
        </is>
      </c>
    </row>
    <row r="8">
      <c r="A8" s="4">
        <f>HYPERLINK("#VENUES!A2", "VENUES (12)")</f>
        <v/>
      </c>
      <c r="C8" t="inlineStr">
        <is>
          <t>Total Systems: 13</t>
        </is>
      </c>
    </row>
    <row r="9">
      <c r="A9" s="4">
        <f>HYPERLINK("#SYSTEMS!A2", "SYSTEMS (13)")</f>
        <v/>
      </c>
      <c r="C9" t="inlineStr">
        <is>
          <t>Total Venues: 12</t>
        </is>
      </c>
    </row>
    <row r="10">
      <c r="A10" s="4">
        <f>HYPERLINK("#WEDDING_PACKAGES!A2", "WEDDING_PACKAGES (6)")</f>
        <v/>
      </c>
      <c r="C10" t="inlineStr">
        <is>
          <t>Wedding Packages: 6</t>
        </is>
      </c>
    </row>
    <row r="11">
      <c r="A11" s="4">
        <f>HYPERLINK("#FORMS!A2", "FORMS (5)")</f>
        <v/>
      </c>
      <c r="C11" t="inlineStr">
        <is>
          <t>Forms: 5</t>
        </is>
      </c>
    </row>
    <row r="12">
      <c r="A12" s="4">
        <f>HYPERLINK("#CATERING!A2", "CATERING (6)")</f>
        <v/>
      </c>
      <c r="C12" t="inlineStr">
        <is>
          <t>Catering Packages: 6</t>
        </is>
      </c>
    </row>
    <row r="13">
      <c r="A13" s="4">
        <f>HYPERLINK("#ADD_ONS!A2", "ADD_ONS (14)")</f>
        <v/>
      </c>
      <c r="C13" t="inlineStr">
        <is>
          <t>Add-ons: 14</t>
        </is>
      </c>
    </row>
    <row r="14">
      <c r="A14" s="4">
        <f>HYPERLINK("#PACKAGE_DETAILS!A2", "PACKAGE_DETAILS")</f>
        <v/>
      </c>
      <c r="C14" t="inlineStr">
        <is>
          <t>Detailed package information</t>
        </is>
      </c>
    </row>
    <row r="15">
      <c r="A15" s="4">
        <f>HYPERLINK("#FORMS!A2", "FORMS (3)")</f>
        <v/>
      </c>
    </row>
    <row r="16">
      <c r="A16" s="4">
        <f>HYPERLINK("#DOCUMENTS!A2", "DOCUMENTS (21)")</f>
        <v/>
      </c>
    </row>
    <row r="17">
      <c r="A17" s="4">
        <f>HYPERLINK("#INITIATIVES!A2", "INITIATIVES (4)")</f>
        <v/>
      </c>
    </row>
    <row r="18">
      <c r="A18" s="4">
        <f>HYPERLINK("#REFERENCE!A2", "REFERENCE")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15" customWidth="1" min="3" max="3"/>
    <col width="23" customWidth="1" min="4" max="4"/>
    <col width="46" customWidth="1" min="5" max="5"/>
    <col width="20" customWidth="1" min="6" max="6"/>
    <col width="20" customWidth="1" min="7" max="7"/>
    <col width="10" customWidth="1" min="8" max="8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ID</t>
        </is>
      </c>
      <c r="B3" t="inlineStr">
        <is>
          <t>Service</t>
        </is>
      </c>
      <c r="C3" t="inlineStr">
        <is>
          <t>Category</t>
        </is>
      </c>
      <c r="D3" t="inlineStr">
        <is>
          <t>URL</t>
        </is>
      </c>
      <c r="E3" t="inlineStr">
        <is>
          <t>Username</t>
        </is>
      </c>
      <c r="F3" t="inlineStr">
        <is>
          <t>Password</t>
        </is>
      </c>
      <c r="G3" t="inlineStr">
        <is>
          <t>Notes</t>
        </is>
      </c>
      <c r="H3" t="inlineStr">
        <is>
          <t>Status</t>
        </is>
      </c>
    </row>
    <row r="4">
      <c r="A4" t="inlineStr">
        <is>
          <t>LOG-001</t>
        </is>
      </c>
      <c r="B4" t="inlineStr">
        <is>
          <t>1000 Lightbulbs</t>
        </is>
      </c>
      <c r="C4" t="inlineStr">
        <is>
          <t>Utility</t>
        </is>
      </c>
      <c r="F4" t="inlineStr">
        <is>
          <t>[REDACTED]</t>
        </is>
      </c>
      <c r="H4" t="inlineStr">
        <is>
          <t>Active</t>
        </is>
      </c>
    </row>
    <row r="5">
      <c r="A5" t="inlineStr">
        <is>
          <t>LOG-002</t>
        </is>
      </c>
      <c r="B5" t="inlineStr">
        <is>
          <t>Agile</t>
        </is>
      </c>
      <c r="C5" t="inlineStr">
        <is>
          <t>CRM</t>
        </is>
      </c>
      <c r="D5" t="inlineStr">
        <is>
          <t>agilecrm.com</t>
        </is>
      </c>
      <c r="E5" t="inlineStr">
        <is>
          <t>admin@silversycamore.com</t>
        </is>
      </c>
      <c r="F5" t="inlineStr">
        <is>
          <t>[REDACTED]</t>
        </is>
      </c>
      <c r="G5" t="inlineStr">
        <is>
          <t>CRM system</t>
        </is>
      </c>
      <c r="H5" t="inlineStr">
        <is>
          <t>Active</t>
        </is>
      </c>
    </row>
    <row r="6">
      <c r="A6" t="inlineStr">
        <is>
          <t>LOG-003</t>
        </is>
      </c>
      <c r="B6" t="inlineStr">
        <is>
          <t>Agoda Hotel ID</t>
        </is>
      </c>
      <c r="C6" t="inlineStr">
        <is>
          <t>Booking</t>
        </is>
      </c>
      <c r="D6" t="inlineStr">
        <is>
          <t>agoda.com</t>
        </is>
      </c>
      <c r="E6" t="inlineStr">
        <is>
          <t>admin@silversycamore.com</t>
        </is>
      </c>
      <c r="F6" t="inlineStr">
        <is>
          <t>[REDACTED]</t>
        </is>
      </c>
      <c r="G6" t="inlineStr">
        <is>
          <t>Hotel ID</t>
        </is>
      </c>
      <c r="H6" t="inlineStr">
        <is>
          <t>Active</t>
        </is>
      </c>
    </row>
    <row r="7">
      <c r="A7" t="inlineStr">
        <is>
          <t>LOG-004</t>
        </is>
      </c>
      <c r="B7" t="inlineStr">
        <is>
          <t>Air BnB</t>
        </is>
      </c>
      <c r="C7" t="inlineStr">
        <is>
          <t>Booking</t>
        </is>
      </c>
      <c r="D7" t="inlineStr">
        <is>
          <t>airbnb.com</t>
        </is>
      </c>
      <c r="E7" t="inlineStr">
        <is>
          <t>admin@silversycamore.com</t>
        </is>
      </c>
      <c r="F7" t="inlineStr">
        <is>
          <t>[REDACTED]</t>
        </is>
      </c>
      <c r="H7" t="inlineStr">
        <is>
          <t>Active</t>
        </is>
      </c>
    </row>
    <row r="8">
      <c r="A8" t="inlineStr">
        <is>
          <t>LOG-005</t>
        </is>
      </c>
      <c r="B8" t="inlineStr">
        <is>
          <t>All Seated</t>
        </is>
      </c>
      <c r="C8" t="inlineStr">
        <is>
          <t>Event</t>
        </is>
      </c>
      <c r="D8" t="inlineStr">
        <is>
          <t>allseated.com</t>
        </is>
      </c>
      <c r="E8" t="inlineStr">
        <is>
          <t>admin@silversycamore.com</t>
        </is>
      </c>
      <c r="F8" t="inlineStr">
        <is>
          <t>[REDACTED]</t>
        </is>
      </c>
      <c r="G8" t="inlineStr">
        <is>
          <t>Floor planning</t>
        </is>
      </c>
      <c r="H8" t="inlineStr">
        <is>
          <t>Active</t>
        </is>
      </c>
    </row>
    <row r="9">
      <c r="A9" t="inlineStr">
        <is>
          <t>LOG-006</t>
        </is>
      </c>
      <c r="B9" t="inlineStr">
        <is>
          <t>Amazon Hotel</t>
        </is>
      </c>
      <c r="C9" t="inlineStr">
        <is>
          <t>Booking</t>
        </is>
      </c>
      <c r="D9" t="inlineStr">
        <is>
          <t>amazon.com</t>
        </is>
      </c>
      <c r="E9" t="inlineStr">
        <is>
          <t>jms@spigener.com</t>
        </is>
      </c>
      <c r="F9" t="inlineStr">
        <is>
          <t>[REDACTED]</t>
        </is>
      </c>
      <c r="H9" t="inlineStr">
        <is>
          <t>Active</t>
        </is>
      </c>
    </row>
    <row r="10">
      <c r="A10" t="inlineStr">
        <is>
          <t>LOG-007</t>
        </is>
      </c>
      <c r="B10" t="inlineStr">
        <is>
          <t>American Hotel</t>
        </is>
      </c>
      <c r="C10" t="inlineStr">
        <is>
          <t>Booking</t>
        </is>
      </c>
      <c r="E10" t="inlineStr">
        <is>
          <t>silversycamore</t>
        </is>
      </c>
      <c r="F10" t="inlineStr">
        <is>
          <t>[REDACTED]</t>
        </is>
      </c>
      <c r="H10" t="inlineStr">
        <is>
          <t>Active</t>
        </is>
      </c>
    </row>
    <row r="11">
      <c r="A11" t="inlineStr">
        <is>
          <t>LOG-008</t>
        </is>
      </c>
      <c r="B11" t="inlineStr">
        <is>
          <t>Bauerslandscaping.com</t>
        </is>
      </c>
      <c r="C11" t="inlineStr">
        <is>
          <t>Vendor</t>
        </is>
      </c>
      <c r="D11" t="inlineStr">
        <is>
          <t>bauerslandscaping.com</t>
        </is>
      </c>
      <c r="E11" t="inlineStr">
        <is>
          <t>admin@silversycamore.com or jms@spigener.com</t>
        </is>
      </c>
      <c r="F11" t="inlineStr">
        <is>
          <t>[REDACTED]</t>
        </is>
      </c>
      <c r="G11" t="inlineStr">
        <is>
          <t>Landscaping</t>
        </is>
      </c>
      <c r="H11" t="inlineStr">
        <is>
          <t>Active</t>
        </is>
      </c>
    </row>
    <row r="12">
      <c r="A12" t="inlineStr">
        <is>
          <t>LOG-009</t>
        </is>
      </c>
      <c r="B12" t="inlineStr">
        <is>
          <t>Bed&amp;Breakfastprofessional.com</t>
        </is>
      </c>
      <c r="C12" t="inlineStr">
        <is>
          <t>Booking</t>
        </is>
      </c>
      <c r="D12" t="inlineStr">
        <is>
          <t>bedandbreakfast.com</t>
        </is>
      </c>
      <c r="E12" t="inlineStr">
        <is>
          <t>admin@silversycamore.com</t>
        </is>
      </c>
      <c r="F12" t="inlineStr">
        <is>
          <t>[REDACTED]</t>
        </is>
      </c>
      <c r="G12" t="inlineStr">
        <is>
          <t>B&amp;B platform</t>
        </is>
      </c>
      <c r="H12" t="inlineStr">
        <is>
          <t>Active</t>
        </is>
      </c>
    </row>
    <row r="13">
      <c r="A13" t="inlineStr">
        <is>
          <t>LOG-010</t>
        </is>
      </c>
      <c r="B13" t="inlineStr">
        <is>
          <t>Booking.com</t>
        </is>
      </c>
      <c r="C13" t="inlineStr">
        <is>
          <t>Booking</t>
        </is>
      </c>
      <c r="D13" t="inlineStr">
        <is>
          <t>booking.com</t>
        </is>
      </c>
      <c r="E13" t="inlineStr">
        <is>
          <t>1919255</t>
        </is>
      </c>
      <c r="F13" t="inlineStr">
        <is>
          <t>[REDACTED]</t>
        </is>
      </c>
      <c r="G13" t="inlineStr">
        <is>
          <t>Property ID</t>
        </is>
      </c>
      <c r="H13" t="inlineStr">
        <is>
          <t>Active</t>
        </is>
      </c>
    </row>
    <row r="14">
      <c r="A14" t="inlineStr">
        <is>
          <t>LOG-011</t>
        </is>
      </c>
      <c r="B14" t="inlineStr">
        <is>
          <t>Bridal Extravaganza</t>
        </is>
      </c>
      <c r="C14" t="inlineStr">
        <is>
          <t>Marketing</t>
        </is>
      </c>
      <c r="E14" t="inlineStr">
        <is>
          <t>658731</t>
        </is>
      </c>
      <c r="F14" t="inlineStr">
        <is>
          <t>[REDACTED]</t>
        </is>
      </c>
      <c r="G14" t="inlineStr">
        <is>
          <t>Bridal show</t>
        </is>
      </c>
      <c r="H14" t="inlineStr">
        <is>
          <t>Active</t>
        </is>
      </c>
    </row>
    <row r="15">
      <c r="A15" t="inlineStr">
        <is>
          <t>LOG-012</t>
        </is>
      </c>
      <c r="B15" t="inlineStr">
        <is>
          <t>Brides Gmail</t>
        </is>
      </c>
      <c r="C15" t="inlineStr">
        <is>
          <t>Email</t>
        </is>
      </c>
      <c r="D15" t="inlineStr">
        <is>
          <t>gmail.com</t>
        </is>
      </c>
      <c r="E15" t="inlineStr">
        <is>
          <t>sycamorebrides@gmail.com</t>
        </is>
      </c>
      <c r="F15" t="inlineStr">
        <is>
          <t>[REDACTED]</t>
        </is>
      </c>
      <c r="G15" t="inlineStr">
        <is>
          <t>Brides email</t>
        </is>
      </c>
      <c r="H15" t="inlineStr">
        <is>
          <t>Active</t>
        </is>
      </c>
    </row>
    <row r="16">
      <c r="A16" t="inlineStr">
        <is>
          <t>LOG-013</t>
        </is>
      </c>
      <c r="B16" t="inlineStr">
        <is>
          <t>Call Tracking E-Web</t>
        </is>
      </c>
      <c r="C16" t="inlineStr">
        <is>
          <t>Marketing</t>
        </is>
      </c>
      <c r="E16" t="inlineStr">
        <is>
          <t>admin@silversycamore.com</t>
        </is>
      </c>
      <c r="F16" t="inlineStr">
        <is>
          <t>[REDACTED]</t>
        </is>
      </c>
      <c r="G16" t="inlineStr">
        <is>
          <t>Call tracking</t>
        </is>
      </c>
      <c r="H16" t="inlineStr">
        <is>
          <t>Active</t>
        </is>
      </c>
    </row>
    <row r="17">
      <c r="A17" t="inlineStr">
        <is>
          <t>LOG-014</t>
        </is>
      </c>
      <c r="B17" t="inlineStr">
        <is>
          <t>Card Connect</t>
        </is>
      </c>
      <c r="C17" t="inlineStr">
        <is>
          <t>Payment</t>
        </is>
      </c>
      <c r="D17" t="inlineStr">
        <is>
          <t>cardconnect.com</t>
        </is>
      </c>
      <c r="E17" t="inlineStr">
        <is>
          <t>admin@silversycamore.com</t>
        </is>
      </c>
      <c r="F17" t="inlineStr">
        <is>
          <t>[REDACTED]</t>
        </is>
      </c>
      <c r="G17" t="inlineStr">
        <is>
          <t>Payment processing</t>
        </is>
      </c>
      <c r="H17" t="inlineStr">
        <is>
          <t>Active</t>
        </is>
      </c>
    </row>
    <row r="18">
      <c r="A18" t="inlineStr">
        <is>
          <t>LOG-015</t>
        </is>
      </c>
      <c r="B18" t="inlineStr">
        <is>
          <t>Card Pointe</t>
        </is>
      </c>
      <c r="C18" t="inlineStr">
        <is>
          <t>Payment</t>
        </is>
      </c>
      <c r="D18" t="inlineStr">
        <is>
          <t>cardpointe.com</t>
        </is>
      </c>
      <c r="E18" t="inlineStr">
        <is>
          <t>admin@silversycamore.com</t>
        </is>
      </c>
      <c r="F18" t="inlineStr">
        <is>
          <t>[REDACTED]</t>
        </is>
      </c>
      <c r="G18" t="inlineStr">
        <is>
          <t>Payment processing</t>
        </is>
      </c>
      <c r="H18" t="inlineStr">
        <is>
          <t>Active</t>
        </is>
      </c>
    </row>
    <row r="19">
      <c r="A19" t="inlineStr">
        <is>
          <t>LOG-016</t>
        </is>
      </c>
      <c r="B19" t="inlineStr">
        <is>
          <t>Center Point Energy</t>
        </is>
      </c>
      <c r="C19" t="inlineStr">
        <is>
          <t>Utility</t>
        </is>
      </c>
      <c r="E19" t="inlineStr">
        <is>
          <t>admin@Silversycamore.com</t>
        </is>
      </c>
      <c r="G19" t="inlineStr">
        <is>
          <t>Utility</t>
        </is>
      </c>
      <c r="H19" t="inlineStr">
        <is>
          <t>Active</t>
        </is>
      </c>
    </row>
    <row r="20">
      <c r="A20" t="inlineStr">
        <is>
          <t>LOG-017</t>
        </is>
      </c>
      <c r="B20" t="inlineStr">
        <is>
          <t>Coco-Point Southwest</t>
        </is>
      </c>
      <c r="C20" t="inlineStr">
        <is>
          <t>Vendor</t>
        </is>
      </c>
      <c r="E20" t="inlineStr">
        <is>
          <t>12344</t>
        </is>
      </c>
      <c r="F20" t="inlineStr">
        <is>
          <t>[REDACTED]</t>
        </is>
      </c>
      <c r="H20" t="inlineStr">
        <is>
          <t>Active</t>
        </is>
      </c>
    </row>
    <row r="21">
      <c r="A21" t="inlineStr">
        <is>
          <t>LOG-018</t>
        </is>
      </c>
      <c r="B21" t="inlineStr">
        <is>
          <t>Comcast</t>
        </is>
      </c>
      <c r="C21" t="inlineStr">
        <is>
          <t>Utility</t>
        </is>
      </c>
      <c r="E21" t="inlineStr">
        <is>
          <t>silversycamore</t>
        </is>
      </c>
      <c r="F21" t="inlineStr">
        <is>
          <t>[REDACTED]</t>
        </is>
      </c>
      <c r="G21" t="inlineStr">
        <is>
          <t>Internet/Cable</t>
        </is>
      </c>
      <c r="H21" t="inlineStr">
        <is>
          <t>Active</t>
        </is>
      </c>
    </row>
    <row r="22">
      <c r="A22" t="inlineStr">
        <is>
          <t>LOG-019</t>
        </is>
      </c>
      <c r="B22" t="inlineStr">
        <is>
          <t>Comcast Contact</t>
        </is>
      </c>
      <c r="C22" t="inlineStr">
        <is>
          <t>Utility</t>
        </is>
      </c>
      <c r="E22" t="inlineStr">
        <is>
          <t>jms@spigener.com</t>
        </is>
      </c>
      <c r="F22" t="inlineStr">
        <is>
          <t>[REDACTED]</t>
        </is>
      </c>
      <c r="G22" t="inlineStr">
        <is>
          <t>Internet/Cable</t>
        </is>
      </c>
      <c r="H22" t="inlineStr">
        <is>
          <t>Active</t>
        </is>
      </c>
    </row>
    <row r="23">
      <c r="A23" t="inlineStr">
        <is>
          <t>LOG-020</t>
        </is>
      </c>
      <c r="B23" t="inlineStr">
        <is>
          <t>Constant Contact</t>
        </is>
      </c>
      <c r="C23" t="inlineStr">
        <is>
          <t>Marketing</t>
        </is>
      </c>
      <c r="D23" t="inlineStr">
        <is>
          <t>constantcontact.com</t>
        </is>
      </c>
      <c r="E23" t="inlineStr">
        <is>
          <t>admin@silversycamore.com</t>
        </is>
      </c>
      <c r="F23" t="inlineStr">
        <is>
          <t>[REDACTED]</t>
        </is>
      </c>
      <c r="G23" t="inlineStr">
        <is>
          <t>Email marketing</t>
        </is>
      </c>
      <c r="H23" t="inlineStr">
        <is>
          <t>Active</t>
        </is>
      </c>
    </row>
    <row r="24">
      <c r="A24" t="inlineStr">
        <is>
          <t>LOG-021</t>
        </is>
      </c>
      <c r="B24" t="inlineStr">
        <is>
          <t>Crexendo</t>
        </is>
      </c>
      <c r="C24" t="inlineStr">
        <is>
          <t>Phone</t>
        </is>
      </c>
      <c r="D24" t="inlineStr">
        <is>
          <t>crexendo.com</t>
        </is>
      </c>
      <c r="E24" t="inlineStr">
        <is>
          <t>admin@silversycamore.com</t>
        </is>
      </c>
      <c r="F24" t="inlineStr">
        <is>
          <t>[REDACTED]</t>
        </is>
      </c>
      <c r="G24" t="inlineStr">
        <is>
          <t>Phone system</t>
        </is>
      </c>
      <c r="H24" t="inlineStr">
        <is>
          <t>Active</t>
        </is>
      </c>
    </row>
    <row r="25">
      <c r="A25" t="inlineStr">
        <is>
          <t>LOG-022</t>
        </is>
      </c>
      <c r="B25" t="inlineStr">
        <is>
          <t>Direct Endo</t>
        </is>
      </c>
      <c r="C25" t="inlineStr">
        <is>
          <t>Vendor</t>
        </is>
      </c>
      <c r="E25" t="inlineStr">
        <is>
          <t>admin@silversycamore.com</t>
        </is>
      </c>
      <c r="F25" t="inlineStr">
        <is>
          <t>[REDACTED]</t>
        </is>
      </c>
      <c r="H25" t="inlineStr">
        <is>
          <t>Active</t>
        </is>
      </c>
    </row>
    <row r="26">
      <c r="A26" t="inlineStr">
        <is>
          <t>LOG-023</t>
        </is>
      </c>
      <c r="B26" t="inlineStr">
        <is>
          <t>Dow Engy</t>
        </is>
      </c>
      <c r="C26" t="inlineStr">
        <is>
          <t>Utility</t>
        </is>
      </c>
      <c r="E26" t="inlineStr">
        <is>
          <t>admin@silversycamore.com</t>
        </is>
      </c>
      <c r="F26" t="inlineStr">
        <is>
          <t>[REDACTED]</t>
        </is>
      </c>
      <c r="H26" t="inlineStr">
        <is>
          <t>Active</t>
        </is>
      </c>
    </row>
    <row r="27">
      <c r="A27" t="inlineStr">
        <is>
          <t>LOG-024</t>
        </is>
      </c>
      <c r="B27" t="inlineStr">
        <is>
          <t>Drop Box</t>
        </is>
      </c>
      <c r="C27" t="inlineStr">
        <is>
          <t>Storage</t>
        </is>
      </c>
      <c r="D27" t="inlineStr">
        <is>
          <t>dropbox.com</t>
        </is>
      </c>
      <c r="E27" t="inlineStr">
        <is>
          <t>admin@silversycamore.com</t>
        </is>
      </c>
      <c r="F27" t="inlineStr">
        <is>
          <t>[REDACTED]</t>
        </is>
      </c>
      <c r="G27" t="inlineStr">
        <is>
          <t>Cloud storage</t>
        </is>
      </c>
      <c r="H27" t="inlineStr">
        <is>
          <t>Active</t>
        </is>
      </c>
    </row>
    <row r="28">
      <c r="A28" t="inlineStr">
        <is>
          <t>LOG-025</t>
        </is>
      </c>
      <c r="B28" t="inlineStr">
        <is>
          <t>eBay</t>
        </is>
      </c>
      <c r="C28" t="inlineStr">
        <is>
          <t>Shopping</t>
        </is>
      </c>
      <c r="D28" t="inlineStr">
        <is>
          <t>ebay.com</t>
        </is>
      </c>
      <c r="E28" t="inlineStr">
        <is>
          <t>admin@silversycamore.com</t>
        </is>
      </c>
      <c r="F28" t="inlineStr">
        <is>
          <t>[REDACTED]</t>
        </is>
      </c>
      <c r="H28" t="inlineStr">
        <is>
          <t>Active</t>
        </is>
      </c>
    </row>
    <row r="29">
      <c r="A29" t="inlineStr">
        <is>
          <t>LOG-026</t>
        </is>
      </c>
      <c r="B29" t="inlineStr">
        <is>
          <t>Eventbrite</t>
        </is>
      </c>
      <c r="C29" t="inlineStr">
        <is>
          <t>Event</t>
        </is>
      </c>
      <c r="D29" t="inlineStr">
        <is>
          <t>eventbrite.com</t>
        </is>
      </c>
      <c r="E29" t="inlineStr">
        <is>
          <t>jms@silversycamore.com</t>
        </is>
      </c>
      <c r="F29" t="inlineStr">
        <is>
          <t>[REDACTED]</t>
        </is>
      </c>
      <c r="G29" t="inlineStr">
        <is>
          <t>Event ticketing</t>
        </is>
      </c>
      <c r="H29" t="inlineStr">
        <is>
          <t>Active</t>
        </is>
      </c>
    </row>
    <row r="30">
      <c r="A30" t="inlineStr">
        <is>
          <t>LOG-027</t>
        </is>
      </c>
      <c r="B30" t="inlineStr">
        <is>
          <t>Evivo</t>
        </is>
      </c>
      <c r="C30" t="inlineStr">
        <is>
          <t>Booking</t>
        </is>
      </c>
      <c r="D30" t="inlineStr">
        <is>
          <t>evivo.com</t>
        </is>
      </c>
      <c r="E30" t="inlineStr">
        <is>
          <t>admin@silversycamore.com</t>
        </is>
      </c>
      <c r="F30" t="inlineStr">
        <is>
          <t>[REDACTED]</t>
        </is>
      </c>
      <c r="H30" t="inlineStr">
        <is>
          <t>Active</t>
        </is>
      </c>
    </row>
    <row r="31">
      <c r="A31" t="inlineStr">
        <is>
          <t>LOG-028</t>
        </is>
      </c>
      <c r="B31" t="inlineStr">
        <is>
          <t>Expedia Booking ID</t>
        </is>
      </c>
      <c r="C31" t="inlineStr">
        <is>
          <t>Booking</t>
        </is>
      </c>
      <c r="D31" t="inlineStr">
        <is>
          <t>expedia.com</t>
        </is>
      </c>
      <c r="E31" t="inlineStr">
        <is>
          <t>admin@silversycamore.com</t>
        </is>
      </c>
      <c r="F31" t="inlineStr">
        <is>
          <t>[REDACTED]</t>
        </is>
      </c>
      <c r="H31" t="inlineStr">
        <is>
          <t>Active</t>
        </is>
      </c>
    </row>
    <row r="32">
      <c r="A32" t="inlineStr">
        <is>
          <t>LOG-029</t>
        </is>
      </c>
      <c r="B32" t="inlineStr">
        <is>
          <t>Faust Retail Portal</t>
        </is>
      </c>
      <c r="C32" t="inlineStr">
        <is>
          <t>Vendor</t>
        </is>
      </c>
      <c r="E32" t="inlineStr">
        <is>
          <t>admin@silversycamore.com</t>
        </is>
      </c>
      <c r="F32" t="inlineStr">
        <is>
          <t>[REDACTED]</t>
        </is>
      </c>
      <c r="H32" t="inlineStr">
        <is>
          <t>Active</t>
        </is>
      </c>
    </row>
    <row r="33">
      <c r="A33" t="inlineStr">
        <is>
          <t>LOG-030</t>
        </is>
      </c>
      <c r="B33" t="inlineStr">
        <is>
          <t>Frankel's</t>
        </is>
      </c>
      <c r="C33" t="inlineStr">
        <is>
          <t>Vendor</t>
        </is>
      </c>
      <c r="E33" t="inlineStr">
        <is>
          <t>jms@spigener.com</t>
        </is>
      </c>
      <c r="F33" t="inlineStr">
        <is>
          <t>[REDACTED]</t>
        </is>
      </c>
      <c r="H33" t="inlineStr">
        <is>
          <t>Active</t>
        </is>
      </c>
    </row>
    <row r="34">
      <c r="A34" t="inlineStr">
        <is>
          <t>LOG-031</t>
        </is>
      </c>
      <c r="B34" t="inlineStr">
        <is>
          <t>Giftomer Files</t>
        </is>
      </c>
      <c r="C34" t="inlineStr">
        <is>
          <t>Storage</t>
        </is>
      </c>
      <c r="E34" t="inlineStr">
        <is>
          <t>silversycamoreweddings@gmail.com</t>
        </is>
      </c>
      <c r="F34" t="inlineStr">
        <is>
          <t>[REDACTED]</t>
        </is>
      </c>
      <c r="H34" t="inlineStr">
        <is>
          <t>Active</t>
        </is>
      </c>
    </row>
    <row r="35">
      <c r="A35" t="inlineStr">
        <is>
          <t>LOG-032</t>
        </is>
      </c>
      <c r="B35" t="inlineStr">
        <is>
          <t>Gmail (Weddings)</t>
        </is>
      </c>
      <c r="C35" t="inlineStr">
        <is>
          <t>Email</t>
        </is>
      </c>
      <c r="D35" t="inlineStr">
        <is>
          <t>gmail.com</t>
        </is>
      </c>
      <c r="E35" t="inlineStr">
        <is>
          <t>sycamorebrideweddings@gmail.com</t>
        </is>
      </c>
      <c r="F35" t="inlineStr">
        <is>
          <t>[REDACTED]</t>
        </is>
      </c>
      <c r="G35" t="inlineStr">
        <is>
          <t>Weddings email</t>
        </is>
      </c>
      <c r="H35" t="inlineStr">
        <is>
          <t>Active</t>
        </is>
      </c>
    </row>
    <row r="36">
      <c r="A36" t="inlineStr">
        <is>
          <t>LOG-033</t>
        </is>
      </c>
      <c r="B36" t="inlineStr">
        <is>
          <t>Gmail (Admin)</t>
        </is>
      </c>
      <c r="C36" t="inlineStr">
        <is>
          <t>Email</t>
        </is>
      </c>
      <c r="D36" t="inlineStr">
        <is>
          <t>gmail.com</t>
        </is>
      </c>
      <c r="E36" t="inlineStr">
        <is>
          <t>admin@silversycamore.com</t>
        </is>
      </c>
      <c r="F36" t="inlineStr">
        <is>
          <t>[REDACTED]</t>
        </is>
      </c>
      <c r="G36" t="inlineStr">
        <is>
          <t>Admin email</t>
        </is>
      </c>
      <c r="H36" t="inlineStr">
        <is>
          <t>Active</t>
        </is>
      </c>
    </row>
    <row r="37">
      <c r="A37" t="inlineStr">
        <is>
          <t>LOG-034</t>
        </is>
      </c>
      <c r="B37" t="inlineStr">
        <is>
          <t>Gmail (Admin Alt)</t>
        </is>
      </c>
      <c r="C37" t="inlineStr">
        <is>
          <t>Email</t>
        </is>
      </c>
      <c r="D37" t="inlineStr">
        <is>
          <t>gmail.com</t>
        </is>
      </c>
      <c r="E37" t="inlineStr">
        <is>
          <t>admin@silversycamore.com</t>
        </is>
      </c>
      <c r="F37" t="inlineStr">
        <is>
          <t>[REDACTED]</t>
        </is>
      </c>
      <c r="G37" t="inlineStr">
        <is>
          <t>Admin alt</t>
        </is>
      </c>
      <c r="H37" t="inlineStr">
        <is>
          <t>Active</t>
        </is>
      </c>
    </row>
    <row r="38">
      <c r="A38" t="inlineStr">
        <is>
          <t>LOG-035</t>
        </is>
      </c>
      <c r="B38" t="inlineStr">
        <is>
          <t>Go To (Brides)</t>
        </is>
      </c>
      <c r="C38" t="inlineStr">
        <is>
          <t>Meeting</t>
        </is>
      </c>
      <c r="D38" t="inlineStr">
        <is>
          <t>goto.com</t>
        </is>
      </c>
      <c r="E38" t="inlineStr">
        <is>
          <t>sycamorebrides@gmail.com</t>
        </is>
      </c>
      <c r="F38" t="inlineStr">
        <is>
          <t>[REDACTED]</t>
        </is>
      </c>
      <c r="G38" t="inlineStr">
        <is>
          <t>Video conferencing</t>
        </is>
      </c>
      <c r="H38" t="inlineStr">
        <is>
          <t>Active</t>
        </is>
      </c>
    </row>
    <row r="39">
      <c r="A39" t="inlineStr">
        <is>
          <t>LOG-036</t>
        </is>
      </c>
      <c r="B39" t="inlineStr">
        <is>
          <t>Go To (Main)</t>
        </is>
      </c>
      <c r="C39" t="inlineStr">
        <is>
          <t>Meeting</t>
        </is>
      </c>
      <c r="D39" t="inlineStr">
        <is>
          <t>goto.com</t>
        </is>
      </c>
      <c r="E39" t="inlineStr">
        <is>
          <t>silversycamore</t>
        </is>
      </c>
      <c r="H39" t="inlineStr">
        <is>
          <t>Active</t>
        </is>
      </c>
    </row>
    <row r="40">
      <c r="A40" t="inlineStr">
        <is>
          <t>LOG-037</t>
        </is>
      </c>
      <c r="B40" t="inlineStr">
        <is>
          <t>Groupon Merchant</t>
        </is>
      </c>
      <c r="C40" t="inlineStr">
        <is>
          <t>Marketing</t>
        </is>
      </c>
      <c r="D40" t="inlineStr">
        <is>
          <t>groupon.com</t>
        </is>
      </c>
      <c r="F40" t="inlineStr">
        <is>
          <t>[REDACTED]</t>
        </is>
      </c>
      <c r="G40" t="inlineStr">
        <is>
          <t>Deals platform</t>
        </is>
      </c>
      <c r="H40" t="inlineStr">
        <is>
          <t>Active</t>
        </is>
      </c>
    </row>
    <row r="41">
      <c r="A41" t="inlineStr">
        <is>
          <t>LOG-038</t>
        </is>
      </c>
      <c r="B41" t="inlineStr">
        <is>
          <t>Harris County Toll</t>
        </is>
      </c>
      <c r="C41" t="inlineStr">
        <is>
          <t>Utility</t>
        </is>
      </c>
      <c r="F41" t="inlineStr">
        <is>
          <t>[REDACTED]</t>
        </is>
      </c>
      <c r="G41" t="inlineStr">
        <is>
          <t>Toll account</t>
        </is>
      </c>
      <c r="H41" t="inlineStr">
        <is>
          <t>Active</t>
        </is>
      </c>
    </row>
    <row r="42">
      <c r="A42" t="inlineStr">
        <is>
          <t>LOG-039</t>
        </is>
      </c>
      <c r="B42" t="inlineStr">
        <is>
          <t>HootSuite</t>
        </is>
      </c>
      <c r="C42" t="inlineStr">
        <is>
          <t>Social</t>
        </is>
      </c>
      <c r="D42" t="inlineStr">
        <is>
          <t>hootsuite.com</t>
        </is>
      </c>
      <c r="E42" t="inlineStr">
        <is>
          <t>jms@spigener.com</t>
        </is>
      </c>
      <c r="F42" t="inlineStr">
        <is>
          <t>[REDACTED]</t>
        </is>
      </c>
      <c r="G42" t="inlineStr">
        <is>
          <t>Social media</t>
        </is>
      </c>
      <c r="H42" t="inlineStr">
        <is>
          <t>Active</t>
        </is>
      </c>
    </row>
    <row r="43">
      <c r="A43" t="inlineStr">
        <is>
          <t>LOG-040</t>
        </is>
      </c>
      <c r="B43" t="inlineStr">
        <is>
          <t>Hotel ID</t>
        </is>
      </c>
      <c r="C43" t="inlineStr">
        <is>
          <t>Booking</t>
        </is>
      </c>
      <c r="E43" t="inlineStr">
        <is>
          <t>18948306</t>
        </is>
      </c>
      <c r="G43" t="inlineStr">
        <is>
          <t>Property ID</t>
        </is>
      </c>
      <c r="H43" t="inlineStr">
        <is>
          <t>Active</t>
        </is>
      </c>
    </row>
    <row r="44">
      <c r="A44" t="inlineStr">
        <is>
          <t>LOG-041</t>
        </is>
      </c>
      <c r="B44" t="inlineStr">
        <is>
          <t>HP</t>
        </is>
      </c>
      <c r="C44" t="inlineStr">
        <is>
          <t>Vendor</t>
        </is>
      </c>
      <c r="D44" t="inlineStr">
        <is>
          <t>hp.com</t>
        </is>
      </c>
      <c r="E44" t="inlineStr">
        <is>
          <t>admin@silversycamore.com</t>
        </is>
      </c>
      <c r="G44" t="inlineStr">
        <is>
          <t>Hardware</t>
        </is>
      </c>
      <c r="H44" t="inlineStr">
        <is>
          <t>Active</t>
        </is>
      </c>
    </row>
    <row r="45">
      <c r="A45" t="inlineStr">
        <is>
          <t>LOG-042</t>
        </is>
      </c>
      <c r="B45" t="inlineStr">
        <is>
          <t>Idealogic</t>
        </is>
      </c>
      <c r="C45" t="inlineStr">
        <is>
          <t>Vendor</t>
        </is>
      </c>
      <c r="E45" t="inlineStr">
        <is>
          <t>kayla</t>
        </is>
      </c>
      <c r="F45" t="inlineStr">
        <is>
          <t>[REDACTED]</t>
        </is>
      </c>
      <c r="H45" t="inlineStr">
        <is>
          <t>Active</t>
        </is>
      </c>
    </row>
    <row r="46">
      <c r="A46" t="inlineStr">
        <is>
          <t>LOG-043</t>
        </is>
      </c>
      <c r="B46" t="inlineStr">
        <is>
          <t>Indeed</t>
        </is>
      </c>
      <c r="C46" t="inlineStr">
        <is>
          <t>Hiring</t>
        </is>
      </c>
      <c r="D46" t="inlineStr">
        <is>
          <t>indeed.com</t>
        </is>
      </c>
      <c r="E46" t="inlineStr">
        <is>
          <t>jms@spigener.com</t>
        </is>
      </c>
      <c r="F46" t="inlineStr">
        <is>
          <t>[REDACTED]</t>
        </is>
      </c>
      <c r="G46" t="inlineStr">
        <is>
          <t>Job posting</t>
        </is>
      </c>
      <c r="H46" t="inlineStr">
        <is>
          <t>Active</t>
        </is>
      </c>
    </row>
    <row r="47">
      <c r="A47" t="inlineStr">
        <is>
          <t>LOG-044</t>
        </is>
      </c>
      <c r="B47" t="inlineStr">
        <is>
          <t>Instagram</t>
        </is>
      </c>
      <c r="C47" t="inlineStr">
        <is>
          <t>Social</t>
        </is>
      </c>
      <c r="D47" t="inlineStr">
        <is>
          <t>instagram.com</t>
        </is>
      </c>
      <c r="E47" t="inlineStr">
        <is>
          <t>silversycamore</t>
        </is>
      </c>
      <c r="F47" t="inlineStr">
        <is>
          <t>[REDACTED]</t>
        </is>
      </c>
      <c r="G47" t="inlineStr">
        <is>
          <t>Social media</t>
        </is>
      </c>
      <c r="H47" t="inlineStr">
        <is>
          <t>Active</t>
        </is>
      </c>
    </row>
    <row r="48">
      <c r="A48" t="inlineStr">
        <is>
          <t>LOG-045</t>
        </is>
      </c>
      <c r="B48" t="inlineStr">
        <is>
          <t>iPad</t>
        </is>
      </c>
      <c r="C48" t="inlineStr">
        <is>
          <t>Device</t>
        </is>
      </c>
      <c r="E48" t="inlineStr">
        <is>
          <t>admin@silversycamore.com</t>
        </is>
      </c>
      <c r="F48" t="inlineStr">
        <is>
          <t>[REDACTED]</t>
        </is>
      </c>
      <c r="G48" t="inlineStr">
        <is>
          <t>Device PIN</t>
        </is>
      </c>
      <c r="H48" t="inlineStr">
        <is>
          <t>Active</t>
        </is>
      </c>
    </row>
    <row r="49">
      <c r="A49" t="inlineStr">
        <is>
          <t>LOG-046</t>
        </is>
      </c>
      <c r="B49" t="inlineStr">
        <is>
          <t>Knox Box</t>
        </is>
      </c>
      <c r="C49" t="inlineStr">
        <is>
          <t>Security</t>
        </is>
      </c>
      <c r="E49" t="inlineStr">
        <is>
          <t>silversycamoreweddings@gmail.com</t>
        </is>
      </c>
      <c r="F49" t="inlineStr">
        <is>
          <t>[REDACTED]</t>
        </is>
      </c>
      <c r="G49" t="inlineStr">
        <is>
          <t>Key access</t>
        </is>
      </c>
      <c r="H49" t="inlineStr">
        <is>
          <t>Active</t>
        </is>
      </c>
    </row>
    <row r="50">
      <c r="A50" t="inlineStr">
        <is>
          <t>LOG-047</t>
        </is>
      </c>
      <c r="B50" t="inlineStr">
        <is>
          <t>Microsoft</t>
        </is>
      </c>
      <c r="C50" t="inlineStr">
        <is>
          <t>Email</t>
        </is>
      </c>
      <c r="D50" t="inlineStr">
        <is>
          <t>live.com</t>
        </is>
      </c>
      <c r="E50" t="inlineStr">
        <is>
          <t>sycamorebrides@gmail.com</t>
        </is>
      </c>
      <c r="F50" t="inlineStr">
        <is>
          <t>[REDACTED]</t>
        </is>
      </c>
      <c r="G50" t="inlineStr">
        <is>
          <t>Microsoft account</t>
        </is>
      </c>
      <c r="H50" t="inlineStr">
        <is>
          <t>Active</t>
        </is>
      </c>
    </row>
    <row r="51">
      <c r="A51" t="inlineStr">
        <is>
          <t>LOG-048</t>
        </is>
      </c>
      <c r="B51" t="inlineStr">
        <is>
          <t>myvive.com</t>
        </is>
      </c>
      <c r="C51" t="inlineStr">
        <is>
          <t>Vendor</t>
        </is>
      </c>
      <c r="D51" t="inlineStr">
        <is>
          <t>myvive.com</t>
        </is>
      </c>
      <c r="E51" t="inlineStr">
        <is>
          <t>admin@silversycamore.com</t>
        </is>
      </c>
      <c r="H51" t="inlineStr">
        <is>
          <t>Active</t>
        </is>
      </c>
    </row>
    <row r="52">
      <c r="A52" t="inlineStr">
        <is>
          <t>LOG-049</t>
        </is>
      </c>
      <c r="B52" t="inlineStr">
        <is>
          <t>my.live.com (alt)</t>
        </is>
      </c>
      <c r="C52" t="inlineStr">
        <is>
          <t>Email</t>
        </is>
      </c>
      <c r="D52" t="inlineStr">
        <is>
          <t>live.com</t>
        </is>
      </c>
      <c r="E52" t="inlineStr">
        <is>
          <t>jms@spigener.com</t>
        </is>
      </c>
      <c r="G52" t="inlineStr">
        <is>
          <t>Alt email</t>
        </is>
      </c>
      <c r="H52" t="inlineStr">
        <is>
          <t>Active</t>
        </is>
      </c>
    </row>
    <row r="53">
      <c r="A53" t="inlineStr">
        <is>
          <t>LOG-050</t>
        </is>
      </c>
      <c r="B53" t="inlineStr">
        <is>
          <t>National Hotel</t>
        </is>
      </c>
      <c r="C53" t="inlineStr">
        <is>
          <t>Booking</t>
        </is>
      </c>
      <c r="E53" t="inlineStr">
        <is>
          <t>admin@silversycamore.com</t>
        </is>
      </c>
      <c r="F53" t="inlineStr">
        <is>
          <t>[REDACTED]</t>
        </is>
      </c>
      <c r="H53" t="inlineStr">
        <is>
          <t>Active</t>
        </is>
      </c>
    </row>
    <row r="54">
      <c r="A54" t="inlineStr">
        <is>
          <t>LOG-051</t>
        </is>
      </c>
      <c r="B54" t="inlineStr">
        <is>
          <t>Office Depot</t>
        </is>
      </c>
      <c r="C54" t="inlineStr">
        <is>
          <t>Shopping</t>
        </is>
      </c>
      <c r="D54" t="inlineStr">
        <is>
          <t>officedepot.com</t>
        </is>
      </c>
      <c r="E54" t="inlineStr">
        <is>
          <t>jms@spigener.com</t>
        </is>
      </c>
      <c r="F54" t="inlineStr">
        <is>
          <t>[REDACTED]</t>
        </is>
      </c>
      <c r="G54" t="inlineStr">
        <is>
          <t>Office supplies</t>
        </is>
      </c>
      <c r="H54" t="inlineStr">
        <is>
          <t>Active</t>
        </is>
      </c>
    </row>
    <row r="55">
      <c r="A55" t="inlineStr">
        <is>
          <t>LOG-052</t>
        </is>
      </c>
      <c r="B55" t="inlineStr">
        <is>
          <t>Pinterest</t>
        </is>
      </c>
      <c r="C55" t="inlineStr">
        <is>
          <t>Social</t>
        </is>
      </c>
      <c r="D55" t="inlineStr">
        <is>
          <t>pinterest.com</t>
        </is>
      </c>
      <c r="E55" t="inlineStr">
        <is>
          <t>admin@silversycamore.com</t>
        </is>
      </c>
      <c r="F55" t="inlineStr">
        <is>
          <t>[REDACTED]</t>
        </is>
      </c>
      <c r="G55" t="inlineStr">
        <is>
          <t>Social media</t>
        </is>
      </c>
      <c r="H55" t="inlineStr">
        <is>
          <t>Active</t>
        </is>
      </c>
    </row>
    <row r="56">
      <c r="A56" t="inlineStr">
        <is>
          <t>LOG-053</t>
        </is>
      </c>
      <c r="B56" t="inlineStr">
        <is>
          <t>PISD ebid</t>
        </is>
      </c>
      <c r="C56" t="inlineStr">
        <is>
          <t>Vendor</t>
        </is>
      </c>
      <c r="E56" t="inlineStr">
        <is>
          <t>jms@spigener.com</t>
        </is>
      </c>
      <c r="F56" t="inlineStr">
        <is>
          <t>[REDACTED]</t>
        </is>
      </c>
      <c r="G56" t="inlineStr">
        <is>
          <t>School district</t>
        </is>
      </c>
      <c r="H56" t="inlineStr">
        <is>
          <t>Active</t>
        </is>
      </c>
    </row>
    <row r="57">
      <c r="A57" t="inlineStr">
        <is>
          <t>LOG-054</t>
        </is>
      </c>
      <c r="B57" t="inlineStr">
        <is>
          <t>Project Registry</t>
        </is>
      </c>
      <c r="C57" t="inlineStr">
        <is>
          <t>Vendor</t>
        </is>
      </c>
      <c r="E57" t="inlineStr">
        <is>
          <t>admin@silversycamore.com</t>
        </is>
      </c>
      <c r="F57" t="inlineStr">
        <is>
          <t>[REDACTED]</t>
        </is>
      </c>
      <c r="H57" t="inlineStr">
        <is>
          <t>Active</t>
        </is>
      </c>
    </row>
    <row r="58">
      <c r="A58" t="inlineStr">
        <is>
          <t>LOG-055</t>
        </is>
      </c>
      <c r="B58" t="inlineStr">
        <is>
          <t>Quill</t>
        </is>
      </c>
      <c r="C58" t="inlineStr">
        <is>
          <t>Shopping</t>
        </is>
      </c>
      <c r="D58" t="inlineStr">
        <is>
          <t>quill.com</t>
        </is>
      </c>
      <c r="E58" t="inlineStr">
        <is>
          <t>admin@silversycamore.com</t>
        </is>
      </c>
      <c r="F58" t="inlineStr">
        <is>
          <t>[REDACTED]</t>
        </is>
      </c>
      <c r="G58" t="inlineStr">
        <is>
          <t>Office supplies</t>
        </is>
      </c>
      <c r="H58" t="inlineStr">
        <is>
          <t>Active</t>
        </is>
      </c>
    </row>
    <row r="59">
      <c r="A59" t="inlineStr">
        <is>
          <t>LOG-056</t>
        </is>
      </c>
      <c r="B59" t="inlineStr">
        <is>
          <t>Register.com</t>
        </is>
      </c>
      <c r="C59" t="inlineStr">
        <is>
          <t>Domain</t>
        </is>
      </c>
      <c r="D59" t="inlineStr">
        <is>
          <t>register.com</t>
        </is>
      </c>
      <c r="E59" t="inlineStr">
        <is>
          <t>silversycamore.com</t>
        </is>
      </c>
      <c r="F59" t="inlineStr">
        <is>
          <t>[REDACTED]</t>
        </is>
      </c>
      <c r="G59" t="inlineStr">
        <is>
          <t>Domain registrar</t>
        </is>
      </c>
      <c r="H59" t="inlineStr">
        <is>
          <t>Active</t>
        </is>
      </c>
    </row>
    <row r="60">
      <c r="A60" t="inlineStr">
        <is>
          <t>LOG-057</t>
        </is>
      </c>
      <c r="B60" t="inlineStr">
        <is>
          <t>Restaurant Ware</t>
        </is>
      </c>
      <c r="C60" t="inlineStr">
        <is>
          <t>Vendor</t>
        </is>
      </c>
      <c r="E60" t="inlineStr">
        <is>
          <t>admin@silversycamore.com</t>
        </is>
      </c>
      <c r="F60" t="inlineStr">
        <is>
          <t>[REDACTED]</t>
        </is>
      </c>
      <c r="G60" t="inlineStr">
        <is>
          <t>Supplies</t>
        </is>
      </c>
      <c r="H60" t="inlineStr">
        <is>
          <t>Active</t>
        </is>
      </c>
    </row>
    <row r="61">
      <c r="A61" t="inlineStr">
        <is>
          <t>LOG-058</t>
        </is>
      </c>
      <c r="B61" t="inlineStr">
        <is>
          <t>Sam's Club</t>
        </is>
      </c>
      <c r="C61" t="inlineStr">
        <is>
          <t>Shopping</t>
        </is>
      </c>
      <c r="D61" t="inlineStr">
        <is>
          <t>samsclub.com</t>
        </is>
      </c>
      <c r="E61" t="inlineStr">
        <is>
          <t>silversycamore</t>
        </is>
      </c>
      <c r="F61" t="inlineStr">
        <is>
          <t>[REDACTED]</t>
        </is>
      </c>
      <c r="G61" t="inlineStr">
        <is>
          <t>Bulk supplies</t>
        </is>
      </c>
      <c r="H61" t="inlineStr">
        <is>
          <t>Active</t>
        </is>
      </c>
    </row>
    <row r="62">
      <c r="A62" t="inlineStr">
        <is>
          <t>LOG-059</t>
        </is>
      </c>
      <c r="B62" t="inlineStr">
        <is>
          <t>Silver Eagle Retail Portal</t>
        </is>
      </c>
      <c r="C62" t="inlineStr">
        <is>
          <t>Vendor</t>
        </is>
      </c>
      <c r="E62" t="inlineStr">
        <is>
          <t>admin@silversycamore.com</t>
        </is>
      </c>
      <c r="F62" t="inlineStr">
        <is>
          <t>[REDACTED]</t>
        </is>
      </c>
      <c r="H62" t="inlineStr">
        <is>
          <t>Active</t>
        </is>
      </c>
    </row>
    <row r="63">
      <c r="A63" t="inlineStr">
        <is>
          <t>LOG-060</t>
        </is>
      </c>
      <c r="B63" t="inlineStr">
        <is>
          <t>Silver Sycamore Email</t>
        </is>
      </c>
      <c r="C63" t="inlineStr">
        <is>
          <t>Email</t>
        </is>
      </c>
      <c r="E63" t="inlineStr">
        <is>
          <t>jms@spigener.com</t>
        </is>
      </c>
      <c r="G63" t="inlineStr">
        <is>
          <t>Main email</t>
        </is>
      </c>
      <c r="H63" t="inlineStr">
        <is>
          <t>Active</t>
        </is>
      </c>
    </row>
    <row r="64">
      <c r="A64" t="inlineStr">
        <is>
          <t>LOG-061</t>
        </is>
      </c>
      <c r="B64" t="inlineStr">
        <is>
          <t>Sky High Party Rental</t>
        </is>
      </c>
      <c r="C64" t="inlineStr">
        <is>
          <t>Vendor</t>
        </is>
      </c>
      <c r="E64" t="inlineStr">
        <is>
          <t>admin@silversycamore.com</t>
        </is>
      </c>
      <c r="F64" t="inlineStr">
        <is>
          <t>[REDACTED]</t>
        </is>
      </c>
      <c r="G64" t="inlineStr">
        <is>
          <t>Party rentals</t>
        </is>
      </c>
      <c r="H64" t="inlineStr">
        <is>
          <t>Active</t>
        </is>
      </c>
    </row>
    <row r="65">
      <c r="A65" t="inlineStr">
        <is>
          <t>LOG-062</t>
        </is>
      </c>
      <c r="B65" t="inlineStr">
        <is>
          <t>Soffront</t>
        </is>
      </c>
      <c r="C65" t="inlineStr">
        <is>
          <t>CRM</t>
        </is>
      </c>
      <c r="D65" t="inlineStr">
        <is>
          <t>soffront.com</t>
        </is>
      </c>
      <c r="E65" t="inlineStr">
        <is>
          <t>admin@silversycamore.com</t>
        </is>
      </c>
      <c r="F65" t="inlineStr">
        <is>
          <t>[REDACTED]</t>
        </is>
      </c>
      <c r="G65" t="inlineStr">
        <is>
          <t>CRM</t>
        </is>
      </c>
      <c r="H65" t="inlineStr">
        <is>
          <t>Active</t>
        </is>
      </c>
    </row>
    <row r="66">
      <c r="A66" t="inlineStr">
        <is>
          <t>LOG-063</t>
        </is>
      </c>
      <c r="B66" t="inlineStr">
        <is>
          <t>Spotify</t>
        </is>
      </c>
      <c r="C66" t="inlineStr">
        <is>
          <t>Entertainment</t>
        </is>
      </c>
      <c r="D66" t="inlineStr">
        <is>
          <t>spotify.com</t>
        </is>
      </c>
      <c r="E66" t="inlineStr">
        <is>
          <t>admin@silversycamoreweddings@gmail.com</t>
        </is>
      </c>
      <c r="F66" t="inlineStr">
        <is>
          <t>[REDACTED]</t>
        </is>
      </c>
      <c r="G66" t="inlineStr">
        <is>
          <t>Music</t>
        </is>
      </c>
      <c r="H66" t="inlineStr">
        <is>
          <t>Active</t>
        </is>
      </c>
    </row>
    <row r="67">
      <c r="A67" t="inlineStr">
        <is>
          <t>LOG-064</t>
        </is>
      </c>
      <c r="B67" t="inlineStr">
        <is>
          <t>Square</t>
        </is>
      </c>
      <c r="C67" t="inlineStr">
        <is>
          <t>Payment</t>
        </is>
      </c>
      <c r="D67" t="inlineStr">
        <is>
          <t>squareup.com</t>
        </is>
      </c>
      <c r="E67" t="inlineStr">
        <is>
          <t>silversycamoreweddings.com</t>
        </is>
      </c>
      <c r="F67" t="inlineStr">
        <is>
          <t>[REDACTED]</t>
        </is>
      </c>
      <c r="G67" t="inlineStr">
        <is>
          <t>POS/Payments</t>
        </is>
      </c>
      <c r="H67" t="inlineStr">
        <is>
          <t>Active</t>
        </is>
      </c>
    </row>
    <row r="68">
      <c r="A68" t="inlineStr">
        <is>
          <t>LOG-065</t>
        </is>
      </c>
      <c r="B68" t="inlineStr">
        <is>
          <t>Sycamore Grounds Twitter</t>
        </is>
      </c>
      <c r="C68" t="inlineStr">
        <is>
          <t>Social</t>
        </is>
      </c>
      <c r="D68" t="inlineStr">
        <is>
          <t>twitter.com</t>
        </is>
      </c>
      <c r="E68" t="inlineStr">
        <is>
          <t>jms@spigener.com</t>
        </is>
      </c>
      <c r="F68" t="inlineStr">
        <is>
          <t>[REDACTED]</t>
        </is>
      </c>
      <c r="G68" t="inlineStr">
        <is>
          <t>Cafe Twitter</t>
        </is>
      </c>
      <c r="H68" t="inlineStr">
        <is>
          <t>Active</t>
        </is>
      </c>
    </row>
    <row r="69">
      <c r="A69" t="inlineStr">
        <is>
          <t>LOG-066</t>
        </is>
      </c>
      <c r="B69" t="inlineStr">
        <is>
          <t>The Knot</t>
        </is>
      </c>
      <c r="C69" t="inlineStr">
        <is>
          <t>Marketing</t>
        </is>
      </c>
      <c r="D69" t="inlineStr">
        <is>
          <t>theknot.com</t>
        </is>
      </c>
      <c r="E69" t="inlineStr">
        <is>
          <t>admin@silversycamore.com</t>
        </is>
      </c>
      <c r="F69" t="inlineStr">
        <is>
          <t>[REDACTED]</t>
        </is>
      </c>
      <c r="G69" t="inlineStr">
        <is>
          <t>Wedding directory</t>
        </is>
      </c>
      <c r="H69" t="inlineStr">
        <is>
          <t>Active</t>
        </is>
      </c>
    </row>
    <row r="70">
      <c r="A70" t="inlineStr">
        <is>
          <t>LOG-067</t>
        </is>
      </c>
      <c r="B70" t="inlineStr">
        <is>
          <t>TripAdvisor</t>
        </is>
      </c>
      <c r="C70" t="inlineStr">
        <is>
          <t>Marketing</t>
        </is>
      </c>
      <c r="D70" t="inlineStr">
        <is>
          <t>tripadvisor.com</t>
        </is>
      </c>
      <c r="E70" t="inlineStr">
        <is>
          <t>admin@SilverSycamore.com</t>
        </is>
      </c>
      <c r="F70" t="inlineStr">
        <is>
          <t>[REDACTED]</t>
        </is>
      </c>
      <c r="G70" t="inlineStr">
        <is>
          <t>Reviews</t>
        </is>
      </c>
      <c r="H70" t="inlineStr">
        <is>
          <t>Active</t>
        </is>
      </c>
    </row>
    <row r="71">
      <c r="A71" t="inlineStr">
        <is>
          <t>LOG-068</t>
        </is>
      </c>
      <c r="B71" t="inlineStr">
        <is>
          <t>Twitter</t>
        </is>
      </c>
      <c r="C71" t="inlineStr">
        <is>
          <t>Social</t>
        </is>
      </c>
      <c r="D71" t="inlineStr">
        <is>
          <t>twitter.com</t>
        </is>
      </c>
      <c r="E71" t="inlineStr">
        <is>
          <t>silversycamore</t>
        </is>
      </c>
      <c r="F71" t="inlineStr">
        <is>
          <t>[REDACTED]</t>
        </is>
      </c>
      <c r="G71" t="inlineStr">
        <is>
          <t>Social media</t>
        </is>
      </c>
      <c r="H71" t="inlineStr">
        <is>
          <t>Active</t>
        </is>
      </c>
    </row>
    <row r="72">
      <c r="A72" t="inlineStr">
        <is>
          <t>LOG-069</t>
        </is>
      </c>
      <c r="B72" t="inlineStr">
        <is>
          <t>Vistaprint</t>
        </is>
      </c>
      <c r="C72" t="inlineStr">
        <is>
          <t>Vendor</t>
        </is>
      </c>
      <c r="D72" t="inlineStr">
        <is>
          <t>vistaprint.com</t>
        </is>
      </c>
      <c r="E72" t="inlineStr">
        <is>
          <t>silversycamore</t>
        </is>
      </c>
      <c r="F72" t="inlineStr">
        <is>
          <t>[REDACTED]</t>
        </is>
      </c>
      <c r="G72" t="inlineStr">
        <is>
          <t>Printing</t>
        </is>
      </c>
      <c r="H72" t="inlineStr">
        <is>
          <t>Active</t>
        </is>
      </c>
    </row>
    <row r="73">
      <c r="A73" t="inlineStr">
        <is>
          <t>LOG-070</t>
        </is>
      </c>
      <c r="B73" t="inlineStr">
        <is>
          <t>Webervations</t>
        </is>
      </c>
      <c r="C73" t="inlineStr">
        <is>
          <t>Booking</t>
        </is>
      </c>
      <c r="E73" t="inlineStr">
        <is>
          <t>admin@silverre</t>
        </is>
      </c>
      <c r="F73" t="inlineStr">
        <is>
          <t>[REDACTED]</t>
        </is>
      </c>
      <c r="H73" t="inlineStr">
        <is>
          <t>Active</t>
        </is>
      </c>
    </row>
    <row r="74">
      <c r="A74" t="inlineStr">
        <is>
          <t>LOG-071</t>
        </is>
      </c>
      <c r="B74" t="inlineStr">
        <is>
          <t>Wedding Wire</t>
        </is>
      </c>
      <c r="C74" t="inlineStr">
        <is>
          <t>Marketing</t>
        </is>
      </c>
      <c r="D74" t="inlineStr">
        <is>
          <t>weddingwire.com</t>
        </is>
      </c>
      <c r="E74" t="inlineStr">
        <is>
          <t>silversycamoreweddings@gmail.com</t>
        </is>
      </c>
      <c r="F74" t="inlineStr">
        <is>
          <t>[REDACTED]</t>
        </is>
      </c>
      <c r="G74" t="inlineStr">
        <is>
          <t>Wedding directory</t>
        </is>
      </c>
      <c r="H74" t="inlineStr">
        <is>
          <t>Active</t>
        </is>
      </c>
    </row>
    <row r="75">
      <c r="A75" t="inlineStr">
        <is>
          <t>LOG-072</t>
        </is>
      </c>
      <c r="B75" t="inlineStr">
        <is>
          <t>Wifi (Admin)</t>
        </is>
      </c>
      <c r="C75" t="inlineStr">
        <is>
          <t>Network</t>
        </is>
      </c>
      <c r="E75" t="inlineStr">
        <is>
          <t>admin@silversycamore.com</t>
        </is>
      </c>
      <c r="F75" t="inlineStr">
        <is>
          <t>[REDACTED]</t>
        </is>
      </c>
      <c r="G75" t="inlineStr">
        <is>
          <t>Staff wifi</t>
        </is>
      </c>
      <c r="H75" t="inlineStr">
        <is>
          <t>Active</t>
        </is>
      </c>
    </row>
    <row r="76">
      <c r="A76" t="inlineStr">
        <is>
          <t>LOG-073</t>
        </is>
      </c>
      <c r="B76" t="inlineStr">
        <is>
          <t>Wifi (Guest)</t>
        </is>
      </c>
      <c r="C76" t="inlineStr">
        <is>
          <t>Network</t>
        </is>
      </c>
      <c r="E76" t="inlineStr">
        <is>
          <t>Silver Corp</t>
        </is>
      </c>
      <c r="F76" t="inlineStr">
        <is>
          <t>[REDACTED]</t>
        </is>
      </c>
      <c r="G76" t="inlineStr">
        <is>
          <t>Guest wifi</t>
        </is>
      </c>
      <c r="H76" t="inlineStr">
        <is>
          <t>Active</t>
        </is>
      </c>
    </row>
    <row r="77">
      <c r="A77" t="inlineStr">
        <is>
          <t>LOG-074</t>
        </is>
      </c>
      <c r="B77" t="inlineStr">
        <is>
          <t>Zoom</t>
        </is>
      </c>
      <c r="C77" t="inlineStr">
        <is>
          <t>Meeting</t>
        </is>
      </c>
      <c r="D77" t="inlineStr">
        <is>
          <t>zoom.us</t>
        </is>
      </c>
      <c r="E77" t="inlineStr">
        <is>
          <t>silverguest</t>
        </is>
      </c>
      <c r="G77" t="inlineStr">
        <is>
          <t>Video conferencing</t>
        </is>
      </c>
      <c r="H77" t="inlineStr">
        <is>
          <t>Active</t>
        </is>
      </c>
    </row>
    <row r="78">
      <c r="A78" t="inlineStr">
        <is>
          <t>LOG-075</t>
        </is>
      </c>
      <c r="B78" t="inlineStr">
        <is>
          <t>RISKO</t>
        </is>
      </c>
      <c r="C78" t="inlineStr">
        <is>
          <t>Vendor</t>
        </is>
      </c>
      <c r="E78" t="inlineStr">
        <is>
          <t>admin</t>
        </is>
      </c>
      <c r="F78" t="inlineStr">
        <is>
          <t>[REDACTED]</t>
        </is>
      </c>
      <c r="G78" t="inlineStr">
        <is>
          <t>$750 for 100 guest</t>
        </is>
      </c>
      <c r="H78" t="inlineStr">
        <is>
          <t>Active</t>
        </is>
      </c>
    </row>
  </sheetData>
  <dataValidations count="1">
    <dataValidation sqref="H3:H77" showDropDown="0" showInputMessage="0" showErrorMessage="0" allowBlank="1" errorTitle="Status Error" error="Invalid status" type="list">
      <formula1>"Active,Deprecated,Unknown"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1" customWidth="1" min="3" max="3"/>
    <col width="22" customWidth="1" min="4" max="4"/>
    <col width="24" customWidth="1" min="5" max="5"/>
    <col width="11" customWidth="1" min="6" max="6"/>
    <col width="14" customWidth="1" min="7" max="7"/>
    <col width="10" customWidth="1" min="8" max="8"/>
    <col width="50" customWidth="1" min="9" max="9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t="inlineStr">
        <is>
          <t>ID</t>
        </is>
      </c>
      <c r="B3" t="inlineStr">
        <is>
          <t>Name</t>
        </is>
      </c>
      <c r="C3" t="inlineStr">
        <is>
          <t>Role</t>
        </is>
      </c>
      <c r="D3" t="inlineStr">
        <is>
          <t>Status</t>
        </is>
      </c>
      <c r="E3" t="inlineStr">
        <is>
          <t>Commitment</t>
        </is>
      </c>
      <c r="F3" t="inlineStr">
        <is>
          <t>Category</t>
        </is>
      </c>
      <c r="G3" t="inlineStr">
        <is>
          <t>Phone</t>
        </is>
      </c>
      <c r="H3" t="inlineStr">
        <is>
          <t>Email</t>
        </is>
      </c>
      <c r="I3" t="inlineStr">
        <is>
          <t>Notes</t>
        </is>
      </c>
    </row>
    <row r="4">
      <c r="A4" t="inlineStr">
        <is>
          <t>PER-001</t>
        </is>
      </c>
      <c r="B4" t="inlineStr">
        <is>
          <t>Uncle Michael</t>
        </is>
      </c>
      <c r="C4" t="inlineStr">
        <is>
          <t>Operator, Board</t>
        </is>
      </c>
      <c r="D4" t="inlineStr">
        <is>
          <t>Full-time</t>
        </is>
      </c>
      <c r="E4" t="inlineStr">
        <is>
          <t>High (retirement play)</t>
        </is>
      </c>
      <c r="F4" t="inlineStr">
        <is>
          <t>Core Team</t>
        </is>
      </c>
      <c r="I4" t="inlineStr">
        <is>
          <t>Day-to-day execution, demos</t>
        </is>
      </c>
    </row>
    <row r="5">
      <c r="A5" t="inlineStr">
        <is>
          <t>PER-002</t>
        </is>
      </c>
      <c r="B5" t="inlineStr">
        <is>
          <t>Elaynah</t>
        </is>
      </c>
      <c r="C5" t="inlineStr">
        <is>
          <t>Core Staff</t>
        </is>
      </c>
      <c r="D5" t="inlineStr">
        <is>
          <t>Part-time</t>
        </is>
      </c>
      <c r="E5" t="inlineStr">
        <is>
          <t>High (retirement play)</t>
        </is>
      </c>
      <c r="F5" t="inlineStr">
        <is>
          <t>Core Team</t>
        </is>
      </c>
      <c r="I5" t="inlineStr">
        <is>
          <t>Runs catering events, wedding coordination interim</t>
        </is>
      </c>
    </row>
    <row r="6">
      <c r="A6" t="inlineStr">
        <is>
          <t>PER-003</t>
        </is>
      </c>
      <c r="B6" t="inlineStr">
        <is>
          <t>Aura</t>
        </is>
      </c>
      <c r="C6" t="inlineStr">
        <is>
          <t>Core Staff</t>
        </is>
      </c>
      <c r="D6" t="inlineStr">
        <is>
          <t>Full-time</t>
        </is>
      </c>
      <c r="E6" t="inlineStr">
        <is>
          <t>High (retirement play)</t>
        </is>
      </c>
      <c r="F6" t="inlineStr">
        <is>
          <t>Core Team</t>
        </is>
      </c>
      <c r="I6" t="inlineStr">
        <is>
          <t>Catering events, sales calls</t>
        </is>
      </c>
    </row>
    <row r="7">
      <c r="A7" t="inlineStr">
        <is>
          <t>PER-004</t>
        </is>
      </c>
      <c r="B7" t="inlineStr">
        <is>
          <t>Aubrey</t>
        </is>
      </c>
      <c r="C7" t="inlineStr">
        <is>
          <t>Support</t>
        </is>
      </c>
      <c r="D7" t="inlineStr">
        <is>
          <t>Part-time</t>
        </is>
      </c>
      <c r="F7" t="inlineStr">
        <is>
          <t>Core Team</t>
        </is>
      </c>
      <c r="I7" t="inlineStr">
        <is>
          <t>Supports wedding coordination</t>
        </is>
      </c>
    </row>
    <row r="8">
      <c r="A8" t="inlineStr">
        <is>
          <t>PER-005</t>
        </is>
      </c>
      <c r="B8" t="inlineStr">
        <is>
          <t>Uncle Don</t>
        </is>
      </c>
      <c r="C8" t="inlineStr">
        <is>
          <t>Peterson CPA, Board</t>
        </is>
      </c>
      <c r="D8" t="inlineStr">
        <is>
          <t>External</t>
        </is>
      </c>
      <c r="E8" t="inlineStr">
        <is>
          <t>100%</t>
        </is>
      </c>
      <c r="F8" t="inlineStr">
        <is>
          <t>Ownership</t>
        </is>
      </c>
      <c r="I8" t="inlineStr">
        <is>
          <t>Friendswood CPA firm</t>
        </is>
      </c>
    </row>
    <row r="9">
      <c r="A9" t="inlineStr">
        <is>
          <t>PER-006</t>
        </is>
      </c>
      <c r="B9" t="inlineStr">
        <is>
          <t>John Peterson</t>
        </is>
      </c>
      <c r="C9" t="inlineStr">
        <is>
          <t>Board</t>
        </is>
      </c>
      <c r="D9" t="inlineStr">
        <is>
          <t>External</t>
        </is>
      </c>
      <c r="F9" t="inlineStr">
        <is>
          <t>Ownership</t>
        </is>
      </c>
      <c r="I9" t="inlineStr">
        <is>
          <t>Peterson CPA</t>
        </is>
      </c>
    </row>
    <row r="10">
      <c r="A10" t="inlineStr">
        <is>
          <t>PER-007</t>
        </is>
      </c>
      <c r="B10" t="inlineStr">
        <is>
          <t>Joe Peterson</t>
        </is>
      </c>
      <c r="C10" t="inlineStr">
        <is>
          <t>Board</t>
        </is>
      </c>
      <c r="D10" t="inlineStr">
        <is>
          <t>External</t>
        </is>
      </c>
      <c r="F10" t="inlineStr">
        <is>
          <t>Ownership</t>
        </is>
      </c>
      <c r="I10" t="inlineStr">
        <is>
          <t>Peterson CPA</t>
        </is>
      </c>
    </row>
    <row r="11">
      <c r="A11" t="inlineStr">
        <is>
          <t>PER-008</t>
        </is>
      </c>
      <c r="B11" t="inlineStr">
        <is>
          <t>Derek</t>
        </is>
      </c>
      <c r="C11" t="inlineStr">
        <is>
          <t>Ops Consultant</t>
        </is>
      </c>
      <c r="D11" t="inlineStr">
        <is>
          <t>On-site</t>
        </is>
      </c>
      <c r="E11" t="inlineStr">
        <is>
          <t>Family</t>
        </is>
      </c>
      <c r="F11" t="inlineStr">
        <is>
          <t>Support</t>
        </is>
      </c>
      <c r="I11" t="inlineStr">
        <is>
          <t>Operations consultant</t>
        </is>
      </c>
    </row>
    <row r="12">
      <c r="A12" t="inlineStr">
        <is>
          <t>PER-009</t>
        </is>
      </c>
      <c r="B12" t="inlineStr">
        <is>
          <t>Krista</t>
        </is>
      </c>
      <c r="C12" t="inlineStr">
        <is>
          <t>Wedding Coordinator</t>
        </is>
      </c>
      <c r="D12" t="inlineStr">
        <is>
          <t>Exiting (2 weeks)</t>
        </is>
      </c>
      <c r="F12" t="inlineStr">
        <is>
          <t>Legacy</t>
        </is>
      </c>
      <c r="I12" t="inlineStr">
        <is>
          <t>Transitioning out</t>
        </is>
      </c>
    </row>
    <row r="13">
      <c r="A13" t="inlineStr">
        <is>
          <t>PER-010</t>
        </is>
      </c>
      <c r="B13" t="inlineStr">
        <is>
          <t>Marketing Director</t>
        </is>
      </c>
      <c r="C13" t="inlineStr">
        <is>
          <t>Marketing</t>
        </is>
      </c>
      <c r="D13" t="inlineStr">
        <is>
          <t>Exiting (timing TBD)</t>
        </is>
      </c>
      <c r="F13" t="inlineStr">
        <is>
          <t>Legacy</t>
        </is>
      </c>
      <c r="I13" t="inlineStr">
        <is>
          <t>Function to be automated</t>
        </is>
      </c>
    </row>
    <row r="14">
      <c r="A14" t="inlineStr">
        <is>
          <t>PER-011</t>
        </is>
      </c>
      <c r="B14" t="inlineStr">
        <is>
          <t>Darlene Mills</t>
        </is>
      </c>
      <c r="C14" t="inlineStr">
        <is>
          <t>Staff</t>
        </is>
      </c>
      <c r="D14" t="inlineStr">
        <is>
          <t>Active</t>
        </is>
      </c>
      <c r="F14" t="inlineStr">
        <is>
          <t>Staff</t>
        </is>
      </c>
      <c r="G14" t="inlineStr">
        <is>
          <t>832-630-5096</t>
        </is>
      </c>
    </row>
    <row r="15">
      <c r="A15" t="inlineStr">
        <is>
          <t>PER-012</t>
        </is>
      </c>
      <c r="B15" t="inlineStr">
        <is>
          <t>Gary Spigener</t>
        </is>
      </c>
      <c r="C15" t="inlineStr">
        <is>
          <t>Owner</t>
        </is>
      </c>
      <c r="D15" t="inlineStr">
        <is>
          <t>Active</t>
        </is>
      </c>
      <c r="F15" t="inlineStr">
        <is>
          <t>Ownership</t>
        </is>
      </c>
      <c r="G15" t="inlineStr">
        <is>
          <t>281-850-2096</t>
        </is>
      </c>
    </row>
    <row r="16">
      <c r="A16" t="inlineStr">
        <is>
          <t>PER-013</t>
        </is>
      </c>
      <c r="B16" t="inlineStr">
        <is>
          <t>Jackie Spigener</t>
        </is>
      </c>
      <c r="C16" t="inlineStr">
        <is>
          <t>Owner</t>
        </is>
      </c>
      <c r="D16" t="inlineStr">
        <is>
          <t>Active</t>
        </is>
      </c>
      <c r="F16" t="inlineStr">
        <is>
          <t>Ownership</t>
        </is>
      </c>
      <c r="G16" t="inlineStr">
        <is>
          <t>281-831-0322</t>
        </is>
      </c>
    </row>
    <row r="17">
      <c r="A17" t="inlineStr">
        <is>
          <t>PER-014</t>
        </is>
      </c>
      <c r="B17" t="inlineStr">
        <is>
          <t>Lyndsey Ciranni</t>
        </is>
      </c>
      <c r="C17" t="inlineStr">
        <is>
          <t>Staff</t>
        </is>
      </c>
      <c r="D17" t="inlineStr">
        <is>
          <t>Active</t>
        </is>
      </c>
      <c r="F17" t="inlineStr">
        <is>
          <t>Staff</t>
        </is>
      </c>
      <c r="G17" t="inlineStr">
        <is>
          <t>713-839-5444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18" customWidth="1" min="3" max="3"/>
    <col width="18" customWidth="1" min="4" max="4"/>
    <col width="30" customWidth="1" min="5" max="5"/>
    <col width="15" customWidth="1" min="6" max="6"/>
    <col width="32" customWidth="1" min="7" max="7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</row>
    <row r="3">
      <c r="A3" t="inlineStr">
        <is>
          <t>ID</t>
        </is>
      </c>
      <c r="B3" t="inlineStr">
        <is>
          <t>Company</t>
        </is>
      </c>
      <c r="C3" t="inlineStr">
        <is>
          <t>Contact</t>
        </is>
      </c>
      <c r="D3" t="inlineStr">
        <is>
          <t>Phone</t>
        </is>
      </c>
      <c r="E3" t="inlineStr">
        <is>
          <t>Email</t>
        </is>
      </c>
      <c r="F3" t="inlineStr">
        <is>
          <t>Category</t>
        </is>
      </c>
      <c r="G3" t="inlineStr">
        <is>
          <t>Notes</t>
        </is>
      </c>
    </row>
    <row r="4">
      <c r="A4" t="inlineStr">
        <is>
          <t>VDR-001</t>
        </is>
      </c>
      <c r="B4" t="inlineStr">
        <is>
          <t>Aboda</t>
        </is>
      </c>
      <c r="C4" t="inlineStr">
        <is>
          <t>Aboda</t>
        </is>
      </c>
      <c r="D4" t="inlineStr">
        <is>
          <t>1 (866) 656-8207</t>
        </is>
      </c>
      <c r="F4" t="inlineStr">
        <is>
          <t>Booking</t>
        </is>
      </c>
    </row>
    <row r="5">
      <c r="A5" t="inlineStr">
        <is>
          <t>VDR-002</t>
        </is>
      </c>
      <c r="B5" t="inlineStr">
        <is>
          <t>Aisco Linens</t>
        </is>
      </c>
      <c r="C5" t="inlineStr">
        <is>
          <t>Carlos</t>
        </is>
      </c>
      <c r="D5" t="inlineStr">
        <is>
          <t>713-269-8185</t>
        </is>
      </c>
      <c r="F5" t="inlineStr">
        <is>
          <t>Linens</t>
        </is>
      </c>
    </row>
    <row r="6">
      <c r="A6" t="inlineStr">
        <is>
          <t>VDR-003</t>
        </is>
      </c>
      <c r="B6" t="inlineStr">
        <is>
          <t>Space City Clowns</t>
        </is>
      </c>
      <c r="C6" t="inlineStr">
        <is>
          <t>Annie</t>
        </is>
      </c>
      <c r="D6" t="inlineStr">
        <is>
          <t>281-460-2141</t>
        </is>
      </c>
      <c r="F6" t="inlineStr">
        <is>
          <t>Entertainment</t>
        </is>
      </c>
    </row>
    <row r="7">
      <c r="A7" t="inlineStr">
        <is>
          <t>VDR-004</t>
        </is>
      </c>
      <c r="B7" t="inlineStr">
        <is>
          <t>Cakes by Julia</t>
        </is>
      </c>
      <c r="C7" t="inlineStr">
        <is>
          <t>Julia</t>
        </is>
      </c>
      <c r="D7" t="inlineStr">
        <is>
          <t>832-992-1353</t>
        </is>
      </c>
      <c r="F7" t="inlineStr">
        <is>
          <t>Cakes</t>
        </is>
      </c>
    </row>
    <row r="8">
      <c r="A8" t="inlineStr">
        <is>
          <t>VDR-005</t>
        </is>
      </c>
      <c r="B8" t="inlineStr">
        <is>
          <t>Cakes for all Occasions</t>
        </is>
      </c>
      <c r="C8" t="inlineStr">
        <is>
          <t>Ronda Chambers</t>
        </is>
      </c>
      <c r="D8" t="inlineStr">
        <is>
          <t>281-889-1684</t>
        </is>
      </c>
      <c r="F8" t="inlineStr">
        <is>
          <t>Cakes</t>
        </is>
      </c>
      <c r="G8" t="inlineStr">
        <is>
          <t>Home: 281-809-8019</t>
        </is>
      </c>
    </row>
    <row r="9">
      <c r="A9" t="inlineStr">
        <is>
          <t>VDR-006</t>
        </is>
      </c>
      <c r="B9" t="inlineStr">
        <is>
          <t>A to Z</t>
        </is>
      </c>
      <c r="C9" t="inlineStr">
        <is>
          <t>Cheyenne</t>
        </is>
      </c>
      <c r="D9" t="inlineStr">
        <is>
          <t>713-292-7828</t>
        </is>
      </c>
      <c r="F9" t="inlineStr">
        <is>
          <t>Rentals</t>
        </is>
      </c>
    </row>
    <row r="10">
      <c r="A10" t="inlineStr">
        <is>
          <t>VDR-007</t>
        </is>
      </c>
      <c r="B10" t="inlineStr">
        <is>
          <t>Chocolate Fountain Express</t>
        </is>
      </c>
      <c r="C10" t="inlineStr">
        <is>
          <t>Sergio</t>
        </is>
      </c>
      <c r="D10" t="inlineStr">
        <is>
          <t>832-643-7518</t>
        </is>
      </c>
      <c r="F10" t="inlineStr">
        <is>
          <t>Catering</t>
        </is>
      </c>
    </row>
    <row r="11">
      <c r="A11" t="inlineStr">
        <is>
          <t>VDR-008</t>
        </is>
      </c>
      <c r="B11" t="inlineStr">
        <is>
          <t>ADS Signs</t>
        </is>
      </c>
      <c r="C11" t="inlineStr">
        <is>
          <t>Danny</t>
        </is>
      </c>
      <c r="D11" t="inlineStr">
        <is>
          <t>713-943-0895</t>
        </is>
      </c>
      <c r="E11" t="inlineStr">
        <is>
          <t>adsi@ads-signs.com</t>
        </is>
      </c>
      <c r="F11" t="inlineStr">
        <is>
          <t>Signs</t>
        </is>
      </c>
    </row>
    <row r="12">
      <c r="A12" t="inlineStr">
        <is>
          <t>VDR-009</t>
        </is>
      </c>
      <c r="B12" t="inlineStr">
        <is>
          <t>Daupin Dots</t>
        </is>
      </c>
      <c r="C12" t="inlineStr">
        <is>
          <t>Denise</t>
        </is>
      </c>
      <c r="D12" t="inlineStr">
        <is>
          <t>713-907-0733</t>
        </is>
      </c>
      <c r="F12" t="inlineStr">
        <is>
          <t>Catering</t>
        </is>
      </c>
    </row>
    <row r="13">
      <c r="A13" t="inlineStr">
        <is>
          <t>VDR-010</t>
        </is>
      </c>
      <c r="B13" t="inlineStr">
        <is>
          <t>DJ</t>
        </is>
      </c>
      <c r="C13" t="inlineStr">
        <is>
          <t>Cidney</t>
        </is>
      </c>
      <c r="D13" t="inlineStr">
        <is>
          <t>832-272-6610</t>
        </is>
      </c>
      <c r="F13" t="inlineStr">
        <is>
          <t>Entertainment</t>
        </is>
      </c>
    </row>
    <row r="14">
      <c r="A14" t="inlineStr">
        <is>
          <t>VDR-011</t>
        </is>
      </c>
      <c r="B14" t="inlineStr">
        <is>
          <t>E-WebResults</t>
        </is>
      </c>
      <c r="C14" t="inlineStr">
        <is>
          <t>Chris/Charles</t>
        </is>
      </c>
      <c r="D14" t="inlineStr">
        <is>
          <t>713-592-6724</t>
        </is>
      </c>
      <c r="F14" t="inlineStr">
        <is>
          <t>Marketing</t>
        </is>
      </c>
    </row>
    <row r="15">
      <c r="A15" t="inlineStr">
        <is>
          <t>VDR-012</t>
        </is>
      </c>
      <c r="B15" t="inlineStr">
        <is>
          <t>Elote</t>
        </is>
      </c>
      <c r="C15" t="inlineStr">
        <is>
          <t>Robert</t>
        </is>
      </c>
      <c r="D15" t="inlineStr">
        <is>
          <t>281-841-2694</t>
        </is>
      </c>
      <c r="F15" t="inlineStr">
        <is>
          <t>Food Truck</t>
        </is>
      </c>
    </row>
    <row r="16">
      <c r="A16" t="inlineStr">
        <is>
          <t>VDR-013</t>
        </is>
      </c>
      <c r="B16" t="inlineStr">
        <is>
          <t>Fancy Fingers</t>
        </is>
      </c>
      <c r="C16" t="inlineStr">
        <is>
          <t>Jackson Tuttle</t>
        </is>
      </c>
      <c r="D16" t="inlineStr">
        <is>
          <t>713-671-5294</t>
        </is>
      </c>
      <c r="F16" t="inlineStr">
        <is>
          <t>Services</t>
        </is>
      </c>
    </row>
    <row r="17">
      <c r="A17" t="inlineStr">
        <is>
          <t>VDR-014</t>
        </is>
      </c>
      <c r="B17" t="inlineStr">
        <is>
          <t>Faust</t>
        </is>
      </c>
      <c r="C17" t="inlineStr">
        <is>
          <t>Diana</t>
        </is>
      </c>
      <c r="D17" t="inlineStr">
        <is>
          <t>815-263-9716</t>
        </is>
      </c>
      <c r="F17" t="inlineStr">
        <is>
          <t>Vendor</t>
        </is>
      </c>
    </row>
    <row r="18">
      <c r="A18" t="inlineStr">
        <is>
          <t>VDR-015</t>
        </is>
      </c>
      <c r="B18" t="inlineStr">
        <is>
          <t>Flowers by Mickey</t>
        </is>
      </c>
      <c r="C18" t="inlineStr">
        <is>
          <t>Nolin Davis</t>
        </is>
      </c>
      <c r="D18" t="inlineStr">
        <is>
          <t>832-317-8359</t>
        </is>
      </c>
      <c r="F18" t="inlineStr">
        <is>
          <t>Florist</t>
        </is>
      </c>
    </row>
    <row r="19">
      <c r="A19" t="inlineStr">
        <is>
          <t>VDR-016</t>
        </is>
      </c>
      <c r="B19" t="inlineStr">
        <is>
          <t>Film/Commercials</t>
        </is>
      </c>
      <c r="C19" t="inlineStr">
        <is>
          <t>Alim Ritchea</t>
        </is>
      </c>
      <c r="D19" t="inlineStr">
        <is>
          <t>832-515-4124</t>
        </is>
      </c>
      <c r="F19" t="inlineStr">
        <is>
          <t>Media</t>
        </is>
      </c>
    </row>
    <row r="20">
      <c r="A20" t="inlineStr">
        <is>
          <t>VDR-017</t>
        </is>
      </c>
      <c r="B20" t="inlineStr">
        <is>
          <t>Granola</t>
        </is>
      </c>
      <c r="C20" t="inlineStr">
        <is>
          <t>Susan Campbell</t>
        </is>
      </c>
      <c r="D20" t="inlineStr">
        <is>
          <t>281-229-9623</t>
        </is>
      </c>
      <c r="F20" t="inlineStr">
        <is>
          <t>Catering</t>
        </is>
      </c>
    </row>
    <row r="21">
      <c r="A21" t="inlineStr">
        <is>
          <t>VDR-018</t>
        </is>
      </c>
      <c r="B21" t="inlineStr">
        <is>
          <t>Harps</t>
        </is>
      </c>
      <c r="C21" t="inlineStr">
        <is>
          <t>Chris Wilieker</t>
        </is>
      </c>
      <c r="D21" t="inlineStr">
        <is>
          <t>681-620-0742</t>
        </is>
      </c>
      <c r="F21" t="inlineStr">
        <is>
          <t>Entertainment</t>
        </is>
      </c>
    </row>
    <row r="22">
      <c r="A22" t="inlineStr">
        <is>
          <t>VDR-019</t>
        </is>
      </c>
      <c r="B22" t="inlineStr">
        <is>
          <t>Heather Finley</t>
        </is>
      </c>
      <c r="C22" t="inlineStr">
        <is>
          <t>Heather Finley</t>
        </is>
      </c>
      <c r="D22" t="inlineStr">
        <is>
          <t>832-423-9788</t>
        </is>
      </c>
      <c r="F22" t="inlineStr">
        <is>
          <t>Services</t>
        </is>
      </c>
    </row>
    <row r="23">
      <c r="A23" t="inlineStr">
        <is>
          <t>VDR-020</t>
        </is>
      </c>
      <c r="B23" t="inlineStr">
        <is>
          <t>Mechanical Bull</t>
        </is>
      </c>
      <c r="C23" t="inlineStr">
        <is>
          <t>Guy</t>
        </is>
      </c>
      <c r="D23" t="inlineStr">
        <is>
          <t>281-217-6253</t>
        </is>
      </c>
      <c r="E23" t="inlineStr">
        <is>
          <t>harps1susanna@mail.com</t>
        </is>
      </c>
      <c r="F23" t="inlineStr">
        <is>
          <t>Entertainment</t>
        </is>
      </c>
      <c r="G23" t="inlineStr">
        <is>
          <t>Hook Somebody</t>
        </is>
      </c>
    </row>
    <row r="24">
      <c r="A24" t="inlineStr">
        <is>
          <t>VDR-021</t>
        </is>
      </c>
      <c r="B24" t="inlineStr">
        <is>
          <t>Hook Somebody</t>
        </is>
      </c>
      <c r="C24" t="inlineStr">
        <is>
          <t>Kelsey Sham</t>
        </is>
      </c>
      <c r="D24" t="inlineStr">
        <is>
          <t>(832) 974-2887</t>
        </is>
      </c>
      <c r="F24" t="inlineStr">
        <is>
          <t>Entertainment</t>
        </is>
      </c>
    </row>
    <row r="25">
      <c r="A25" t="inlineStr">
        <is>
          <t>VDR-022</t>
        </is>
      </c>
      <c r="B25" t="inlineStr">
        <is>
          <t>Internet SEO Services</t>
        </is>
      </c>
      <c r="C25" t="inlineStr">
        <is>
          <t>Jorge</t>
        </is>
      </c>
      <c r="D25" t="inlineStr">
        <is>
          <t>281-393-2223</t>
        </is>
      </c>
      <c r="E25" t="inlineStr">
        <is>
          <t>chns@internetseoservices.com</t>
        </is>
      </c>
      <c r="F25" t="inlineStr">
        <is>
          <t>Marketing</t>
        </is>
      </c>
      <c r="G25" t="inlineStr">
        <is>
          <t>Infants</t>
        </is>
      </c>
    </row>
    <row r="26">
      <c r="A26" t="inlineStr">
        <is>
          <t>VDR-023</t>
        </is>
      </c>
      <c r="B26" t="inlineStr">
        <is>
          <t>Just Add Cake Inflatables</t>
        </is>
      </c>
      <c r="C26" t="inlineStr">
        <is>
          <t>Lettie</t>
        </is>
      </c>
      <c r="D26" t="inlineStr">
        <is>
          <t>713-501-9851</t>
        </is>
      </c>
      <c r="F26" t="inlineStr">
        <is>
          <t>Rentals</t>
        </is>
      </c>
    </row>
    <row r="27">
      <c r="A27" t="inlineStr">
        <is>
          <t>VDR-024</t>
        </is>
      </c>
      <c r="B27" t="inlineStr">
        <is>
          <t>Linens and Decor</t>
        </is>
      </c>
      <c r="C27" t="inlineStr">
        <is>
          <t>Chris</t>
        </is>
      </c>
      <c r="D27" t="inlineStr">
        <is>
          <t>713-690-5857</t>
        </is>
      </c>
      <c r="F27" t="inlineStr">
        <is>
          <t>Linens</t>
        </is>
      </c>
    </row>
    <row r="28">
      <c r="A28" t="inlineStr">
        <is>
          <t>VDR-025</t>
        </is>
      </c>
      <c r="B28" t="inlineStr">
        <is>
          <t>Longhorn/Mailboxes</t>
        </is>
      </c>
      <c r="C28" t="inlineStr">
        <is>
          <t>Diana Tatum</t>
        </is>
      </c>
      <c r="D28" t="inlineStr">
        <is>
          <t>979-826-8185</t>
        </is>
      </c>
      <c r="F28" t="inlineStr">
        <is>
          <t>Services</t>
        </is>
      </c>
    </row>
    <row r="29">
      <c r="A29" t="inlineStr">
        <is>
          <t>VDR-026</t>
        </is>
      </c>
      <c r="B29" t="inlineStr">
        <is>
          <t>Longhorn/Mailboxes</t>
        </is>
      </c>
      <c r="C29" t="inlineStr">
        <is>
          <t>Kathy</t>
        </is>
      </c>
      <c r="D29" t="inlineStr">
        <is>
          <t>281-413-3962</t>
        </is>
      </c>
      <c r="F29" t="inlineStr">
        <is>
          <t>Services</t>
        </is>
      </c>
    </row>
    <row r="30">
      <c r="A30" t="inlineStr">
        <is>
          <t>VDR-027</t>
        </is>
      </c>
      <c r="B30" t="inlineStr">
        <is>
          <t>Majestic Linens</t>
        </is>
      </c>
      <c r="C30" t="inlineStr">
        <is>
          <t>Jason</t>
        </is>
      </c>
      <c r="D30" t="inlineStr">
        <is>
          <t>832-414-0837</t>
        </is>
      </c>
      <c r="F30" t="inlineStr">
        <is>
          <t>Linens</t>
        </is>
      </c>
      <c r="G30" t="inlineStr">
        <is>
          <t>Inflatables</t>
        </is>
      </c>
    </row>
    <row r="31">
      <c r="A31" t="inlineStr">
        <is>
          <t>VDR-028</t>
        </is>
      </c>
      <c r="B31" t="inlineStr">
        <is>
          <t>Marbles Inflatables</t>
        </is>
      </c>
      <c r="C31" t="inlineStr">
        <is>
          <t>Kathy</t>
        </is>
      </c>
      <c r="D31" t="inlineStr">
        <is>
          <t>281-381-5276</t>
        </is>
      </c>
      <c r="F31" t="inlineStr">
        <is>
          <t>Rentals</t>
        </is>
      </c>
    </row>
    <row r="32">
      <c r="A32" t="inlineStr">
        <is>
          <t>VDR-029</t>
        </is>
      </c>
      <c r="B32" t="inlineStr">
        <is>
          <t>Mr Mykonos Gyros</t>
        </is>
      </c>
      <c r="C32" t="inlineStr">
        <is>
          <t>Michael</t>
        </is>
      </c>
      <c r="D32" t="inlineStr">
        <is>
          <t>832-455-0201</t>
        </is>
      </c>
      <c r="E32" t="inlineStr">
        <is>
          <t>mrmykonos@aol.com</t>
        </is>
      </c>
      <c r="F32" t="inlineStr">
        <is>
          <t>Food Truck</t>
        </is>
      </c>
      <c r="G32" t="inlineStr">
        <is>
          <t>$1k/100 ppl, veggie or chicken</t>
        </is>
      </c>
    </row>
    <row r="33">
      <c r="A33" t="inlineStr">
        <is>
          <t>VDR-030</t>
        </is>
      </c>
      <c r="B33" t="inlineStr">
        <is>
          <t>Sycamore Grounds (Officer)</t>
        </is>
      </c>
      <c r="D33" t="inlineStr">
        <is>
          <t>281-978-8307</t>
        </is>
      </c>
      <c r="E33" t="inlineStr">
        <is>
          <t>jbird20t082@gmail.com</t>
        </is>
      </c>
      <c r="F33" t="inlineStr">
        <is>
          <t>Staff</t>
        </is>
      </c>
    </row>
    <row r="34">
      <c r="A34" t="inlineStr">
        <is>
          <t>VDR-031</t>
        </is>
      </c>
      <c r="B34" t="inlineStr">
        <is>
          <t>Pine</t>
        </is>
      </c>
      <c r="C34" t="inlineStr">
        <is>
          <t>Michael</t>
        </is>
      </c>
      <c r="D34" t="inlineStr">
        <is>
          <t>409-457-0672</t>
        </is>
      </c>
      <c r="F34" t="inlineStr">
        <is>
          <t>Food Truck</t>
        </is>
      </c>
      <c r="G34" t="inlineStr">
        <is>
          <t>$1k/100 ppl</t>
        </is>
      </c>
    </row>
    <row r="35">
      <c r="A35" t="inlineStr">
        <is>
          <t>VDR-032</t>
        </is>
      </c>
      <c r="B35" t="inlineStr">
        <is>
          <t>Republic National</t>
        </is>
      </c>
      <c r="F35" t="inlineStr">
        <is>
          <t>Wine</t>
        </is>
      </c>
    </row>
    <row r="36">
      <c r="A36" t="inlineStr">
        <is>
          <t>VDR-033</t>
        </is>
      </c>
      <c r="B36" t="inlineStr">
        <is>
          <t>Republic/Wine</t>
        </is>
      </c>
      <c r="C36" t="inlineStr">
        <is>
          <t>Erin</t>
        </is>
      </c>
      <c r="D36" t="inlineStr">
        <is>
          <t>281-728-7531</t>
        </is>
      </c>
      <c r="F36" t="inlineStr">
        <is>
          <t>Wine</t>
        </is>
      </c>
    </row>
    <row r="37">
      <c r="A37" t="inlineStr">
        <is>
          <t>VDR-034</t>
        </is>
      </c>
      <c r="B37" t="inlineStr">
        <is>
          <t>Scotty Mobile</t>
        </is>
      </c>
      <c r="C37" t="inlineStr">
        <is>
          <t>Mike</t>
        </is>
      </c>
      <c r="D37" t="inlineStr">
        <is>
          <t>713-941-3657</t>
        </is>
      </c>
      <c r="F37" t="inlineStr">
        <is>
          <t>Services</t>
        </is>
      </c>
    </row>
    <row r="38">
      <c r="A38" t="inlineStr">
        <is>
          <t>VDR-035</t>
        </is>
      </c>
      <c r="B38" t="inlineStr">
        <is>
          <t>Silver Eagle</t>
        </is>
      </c>
      <c r="C38" t="inlineStr">
        <is>
          <t>Justin</t>
        </is>
      </c>
      <c r="D38" t="inlineStr">
        <is>
          <t>409-978-5279</t>
        </is>
      </c>
      <c r="F38" t="inlineStr">
        <is>
          <t>Vendor</t>
        </is>
      </c>
    </row>
    <row r="39">
      <c r="A39" t="inlineStr">
        <is>
          <t>VDR-036</t>
        </is>
      </c>
      <c r="B39" t="inlineStr">
        <is>
          <t>Silver Sycamore</t>
        </is>
      </c>
      <c r="C39" t="inlineStr">
        <is>
          <t>Darlene Mills</t>
        </is>
      </c>
      <c r="D39" t="inlineStr">
        <is>
          <t>832-630-5096</t>
        </is>
      </c>
      <c r="F39" t="inlineStr">
        <is>
          <t>Staff</t>
        </is>
      </c>
    </row>
    <row r="40">
      <c r="A40" t="inlineStr">
        <is>
          <t>VDR-037</t>
        </is>
      </c>
      <c r="B40" t="inlineStr">
        <is>
          <t>Silver Sycamore</t>
        </is>
      </c>
      <c r="C40" t="inlineStr">
        <is>
          <t>Gary Spigener</t>
        </is>
      </c>
      <c r="D40" t="inlineStr">
        <is>
          <t>281-850-2096</t>
        </is>
      </c>
      <c r="F40" t="inlineStr">
        <is>
          <t>Owner</t>
        </is>
      </c>
    </row>
    <row r="41">
      <c r="A41" t="inlineStr">
        <is>
          <t>VDR-038</t>
        </is>
      </c>
      <c r="B41" t="inlineStr">
        <is>
          <t>Silver Sycamore</t>
        </is>
      </c>
      <c r="C41" t="inlineStr">
        <is>
          <t>Jackie Spigener</t>
        </is>
      </c>
      <c r="D41" t="inlineStr">
        <is>
          <t>281-831-0322</t>
        </is>
      </c>
      <c r="F41" t="inlineStr">
        <is>
          <t>Owner</t>
        </is>
      </c>
    </row>
    <row r="42">
      <c r="A42" t="inlineStr">
        <is>
          <t>VDR-039</t>
        </is>
      </c>
      <c r="B42" t="inlineStr">
        <is>
          <t>Silver Sycamore</t>
        </is>
      </c>
      <c r="C42" t="inlineStr">
        <is>
          <t>Lyndsey Ciranni</t>
        </is>
      </c>
      <c r="D42" t="inlineStr">
        <is>
          <t>713-839-5444</t>
        </is>
      </c>
      <c r="F42" t="inlineStr">
        <is>
          <t>Staff</t>
        </is>
      </c>
    </row>
    <row r="43">
      <c r="A43" t="inlineStr">
        <is>
          <t>VDR-040</t>
        </is>
      </c>
      <c r="B43" t="inlineStr">
        <is>
          <t>Sky High Inflatables</t>
        </is>
      </c>
      <c r="C43" t="inlineStr">
        <is>
          <t>Sky High</t>
        </is>
      </c>
      <c r="D43" t="inlineStr">
        <is>
          <t>1-855-627-7594</t>
        </is>
      </c>
      <c r="F43" t="inlineStr">
        <is>
          <t>Rentals</t>
        </is>
      </c>
    </row>
    <row r="44">
      <c r="A44" t="inlineStr">
        <is>
          <t>VDR-041</t>
        </is>
      </c>
      <c r="B44" t="inlineStr">
        <is>
          <t>Sycamore Grounds</t>
        </is>
      </c>
      <c r="C44" t="inlineStr">
        <is>
          <t>Spencer</t>
        </is>
      </c>
      <c r="D44" t="inlineStr">
        <is>
          <t>281-888-7471</t>
        </is>
      </c>
      <c r="F44" t="inlineStr">
        <is>
          <t>Staff</t>
        </is>
      </c>
    </row>
    <row r="45">
      <c r="A45" t="inlineStr">
        <is>
          <t>VDR-042</t>
        </is>
      </c>
      <c r="B45" t="inlineStr">
        <is>
          <t>Sysco</t>
        </is>
      </c>
      <c r="D45" t="inlineStr">
        <is>
          <t>713-775-5349</t>
        </is>
      </c>
      <c r="F45" t="inlineStr">
        <is>
          <t>Food Supply</t>
        </is>
      </c>
    </row>
    <row r="46">
      <c r="A46" t="inlineStr">
        <is>
          <t>VDR-043</t>
        </is>
      </c>
      <c r="B46" t="inlineStr">
        <is>
          <t>Taquizas El Desmadre</t>
        </is>
      </c>
      <c r="C46" t="inlineStr">
        <is>
          <t>Jeorge DeLeon</t>
        </is>
      </c>
      <c r="D46" t="inlineStr">
        <is>
          <t>713-416-2678</t>
        </is>
      </c>
      <c r="F46" t="inlineStr">
        <is>
          <t>Food Truck</t>
        </is>
      </c>
      <c r="G46" t="inlineStr">
        <is>
          <t>Taco truck</t>
        </is>
      </c>
    </row>
    <row r="47">
      <c r="A47" t="inlineStr">
        <is>
          <t>VDR-044</t>
        </is>
      </c>
      <c r="B47" t="inlineStr">
        <is>
          <t>One Stop Party Supply</t>
        </is>
      </c>
      <c r="C47" t="inlineStr">
        <is>
          <t>Tents and Events</t>
        </is>
      </c>
      <c r="D47" t="inlineStr">
        <is>
          <t>281-338-9898</t>
        </is>
      </c>
      <c r="F47" t="inlineStr">
        <is>
          <t>Rentals</t>
        </is>
      </c>
    </row>
    <row r="48">
      <c r="A48" t="inlineStr">
        <is>
          <t>VDR-045</t>
        </is>
      </c>
      <c r="B48" t="inlineStr">
        <is>
          <t>Consolidated Security</t>
        </is>
      </c>
      <c r="C48" t="inlineStr">
        <is>
          <t>Troy</t>
        </is>
      </c>
      <c r="D48" t="inlineStr">
        <is>
          <t>713-410-5466</t>
        </is>
      </c>
      <c r="F48" t="inlineStr">
        <is>
          <t>Security</t>
        </is>
      </c>
    </row>
    <row r="49">
      <c r="A49" t="inlineStr">
        <is>
          <t>VDR-046</t>
        </is>
      </c>
      <c r="B49" t="inlineStr">
        <is>
          <t>Lonestar</t>
        </is>
      </c>
      <c r="D49" t="inlineStr">
        <is>
          <t>713-926-8100</t>
        </is>
      </c>
      <c r="F49" t="inlineStr">
        <is>
          <t>Services</t>
        </is>
      </c>
    </row>
    <row r="50">
      <c r="A50" t="inlineStr">
        <is>
          <t>VDR-047</t>
        </is>
      </c>
      <c r="B50" t="inlineStr">
        <is>
          <t>Sterling Tea</t>
        </is>
      </c>
      <c r="D50" t="inlineStr">
        <is>
          <t>972-722-0506</t>
        </is>
      </c>
      <c r="F50" t="inlineStr">
        <is>
          <t>Catering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12" customWidth="1" min="3" max="3"/>
    <col width="14" customWidth="1" min="4" max="4"/>
    <col width="14" customWidth="1" min="5" max="5"/>
    <col width="45" customWidth="1" min="6" max="6"/>
    <col width="33" customWidth="1" min="7" max="7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</row>
    <row r="3">
      <c r="A3" t="inlineStr">
        <is>
          <t>ID</t>
        </is>
      </c>
      <c r="B3" t="inlineStr">
        <is>
          <t>Venue</t>
        </is>
      </c>
      <c r="C3" t="inlineStr">
        <is>
          <t>Type</t>
        </is>
      </c>
      <c r="D3" t="inlineStr">
        <is>
          <t>Capacity Min</t>
        </is>
      </c>
      <c r="E3" t="inlineStr">
        <is>
          <t>Capacity Max</t>
        </is>
      </c>
      <c r="F3" t="inlineStr">
        <is>
          <t>Uses</t>
        </is>
      </c>
      <c r="G3" t="inlineStr">
        <is>
          <t>Notes</t>
        </is>
      </c>
    </row>
    <row r="4">
      <c r="A4" t="inlineStr">
        <is>
          <t>VEN-001</t>
        </is>
      </c>
      <c r="B4" t="inlineStr">
        <is>
          <t>Reception Hall</t>
        </is>
      </c>
      <c r="C4" t="inlineStr">
        <is>
          <t>Indoor</t>
        </is>
      </c>
      <c r="D4" t="n">
        <v>50</v>
      </c>
      <c r="E4" t="n">
        <v>200</v>
      </c>
      <c r="F4" t="inlineStr">
        <is>
          <t>Wedding, Reception, Shower, Corporate</t>
        </is>
      </c>
      <c r="G4" t="inlineStr">
        <is>
          <t>Main event space</t>
        </is>
      </c>
    </row>
    <row r="5">
      <c r="A5" t="inlineStr">
        <is>
          <t>VEN-002</t>
        </is>
      </c>
      <c r="B5" t="inlineStr">
        <is>
          <t>Saloon</t>
        </is>
      </c>
      <c r="C5" t="inlineStr">
        <is>
          <t>Indoor</t>
        </is>
      </c>
      <c r="D5" t="n">
        <v>30</v>
      </c>
      <c r="E5" t="n">
        <v>50</v>
      </c>
      <c r="F5" t="inlineStr">
        <is>
          <t>Micro Wedding, Reception, Shower, Corporate</t>
        </is>
      </c>
    </row>
    <row r="6">
      <c r="A6" t="inlineStr">
        <is>
          <t>VEN-003</t>
        </is>
      </c>
      <c r="B6" t="inlineStr">
        <is>
          <t>White Chapel</t>
        </is>
      </c>
      <c r="C6" t="inlineStr">
        <is>
          <t>Indoor</t>
        </is>
      </c>
      <c r="D6" t="n">
        <v>0</v>
      </c>
      <c r="E6" t="n">
        <v>200</v>
      </c>
      <c r="F6" t="inlineStr">
        <is>
          <t>Ceremony only</t>
        </is>
      </c>
      <c r="G6" t="inlineStr">
        <is>
          <t>Draping available</t>
        </is>
      </c>
    </row>
    <row r="7">
      <c r="A7" t="inlineStr">
        <is>
          <t>VEN-004</t>
        </is>
      </c>
      <c r="B7" t="inlineStr">
        <is>
          <t>Bridal Cottage</t>
        </is>
      </c>
      <c r="C7" t="inlineStr">
        <is>
          <t>Indoor</t>
        </is>
      </c>
      <c r="D7" t="n">
        <v>0</v>
      </c>
      <c r="E7" t="n">
        <v>0</v>
      </c>
      <c r="F7" t="inlineStr">
        <is>
          <t>Prep only</t>
        </is>
      </c>
      <c r="G7" t="inlineStr">
        <is>
          <t>Bride preparation</t>
        </is>
      </c>
    </row>
    <row r="8">
      <c r="A8" t="inlineStr">
        <is>
          <t>VEN-005</t>
        </is>
      </c>
      <c r="B8" t="inlineStr">
        <is>
          <t>Jail</t>
        </is>
      </c>
      <c r="C8" t="inlineStr">
        <is>
          <t>Indoor</t>
        </is>
      </c>
      <c r="D8" t="n">
        <v>0</v>
      </c>
      <c r="E8" t="n">
        <v>0</v>
      </c>
      <c r="F8" t="inlineStr">
        <is>
          <t>Groom prep</t>
        </is>
      </c>
      <c r="G8" t="inlineStr">
        <is>
          <t>Groom preparation</t>
        </is>
      </c>
    </row>
    <row r="9">
      <c r="A9" t="inlineStr">
        <is>
          <t>VEN-006</t>
        </is>
      </c>
      <c r="B9" t="inlineStr">
        <is>
          <t>Tearoom</t>
        </is>
      </c>
      <c r="C9" t="inlineStr">
        <is>
          <t>Indoor</t>
        </is>
      </c>
      <c r="D9" t="n">
        <v>25</v>
      </c>
      <c r="E9" t="n">
        <v>45</v>
      </c>
      <c r="F9" t="inlineStr">
        <is>
          <t>Shower only</t>
        </is>
      </c>
      <c r="G9" t="inlineStr">
        <is>
          <t>Tea service events</t>
        </is>
      </c>
    </row>
    <row r="10">
      <c r="A10" t="inlineStr">
        <is>
          <t>VEN-007</t>
        </is>
      </c>
      <c r="B10" t="inlineStr">
        <is>
          <t>Waterfall Gazebo</t>
        </is>
      </c>
      <c r="C10" t="inlineStr">
        <is>
          <t>Outdoor</t>
        </is>
      </c>
      <c r="D10" t="n">
        <v>0</v>
      </c>
      <c r="E10" t="n">
        <v>500</v>
      </c>
      <c r="F10" t="inlineStr">
        <is>
          <t>Ceremony</t>
        </is>
      </c>
    </row>
    <row r="11">
      <c r="A11" t="inlineStr">
        <is>
          <t>VEN-008</t>
        </is>
      </c>
      <c r="B11" t="inlineStr">
        <is>
          <t>The Gardens (B&amp;B)</t>
        </is>
      </c>
      <c r="C11" t="inlineStr">
        <is>
          <t>Outdoor</t>
        </is>
      </c>
      <c r="D11" t="n">
        <v>0</v>
      </c>
      <c r="E11" t="n">
        <v>500</v>
      </c>
      <c r="F11" t="inlineStr">
        <is>
          <t>Ceremony</t>
        </is>
      </c>
    </row>
    <row r="12">
      <c r="A12" t="inlineStr">
        <is>
          <t>VEN-009</t>
        </is>
      </c>
      <c r="B12" t="inlineStr">
        <is>
          <t>Street of Sycamoreville</t>
        </is>
      </c>
      <c r="C12" t="inlineStr">
        <is>
          <t>Outdoor</t>
        </is>
      </c>
      <c r="D12" t="n">
        <v>0</v>
      </c>
      <c r="E12" t="n">
        <v>1000</v>
      </c>
      <c r="F12" t="inlineStr">
        <is>
          <t>Reception, Photos</t>
        </is>
      </c>
      <c r="G12" t="inlineStr">
        <is>
          <t>Western town backdrop</t>
        </is>
      </c>
    </row>
    <row r="13">
      <c r="A13" t="inlineStr">
        <is>
          <t>VEN-010</t>
        </is>
      </c>
      <c r="B13" t="inlineStr">
        <is>
          <t>B&amp;B Rooms</t>
        </is>
      </c>
      <c r="C13" t="inlineStr">
        <is>
          <t>Lodging</t>
        </is>
      </c>
      <c r="D13" t="n">
        <v>0</v>
      </c>
      <c r="E13" t="n">
        <v>16</v>
      </c>
      <c r="F13" t="inlineStr">
        <is>
          <t>Lodging</t>
        </is>
      </c>
      <c r="G13" t="inlineStr">
        <is>
          <t>8 rooms, themed</t>
        </is>
      </c>
    </row>
    <row r="14">
      <c r="A14" t="inlineStr">
        <is>
          <t>VEN-011</t>
        </is>
      </c>
      <c r="B14" t="inlineStr">
        <is>
          <t>Pine Street Cafe</t>
        </is>
      </c>
      <c r="C14" t="inlineStr">
        <is>
          <t>Restaurant</t>
        </is>
      </c>
      <c r="D14" t="n">
        <v>0</v>
      </c>
      <c r="E14" t="n">
        <v>50</v>
      </c>
      <c r="F14" t="inlineStr">
        <is>
          <t>Restaurant, Tastings</t>
        </is>
      </c>
      <c r="G14" t="inlineStr">
        <is>
          <t>#10 of 133 Pasadena restaurants</t>
        </is>
      </c>
    </row>
    <row r="15">
      <c r="A15" t="inlineStr">
        <is>
          <t>VEN-012</t>
        </is>
      </c>
      <c r="B15" t="inlineStr">
        <is>
          <t>Western Town (Sycamoreville)</t>
        </is>
      </c>
      <c r="C15" t="inlineStr">
        <is>
          <t>Outdoor</t>
        </is>
      </c>
      <c r="D15" t="n">
        <v>0</v>
      </c>
      <c r="E15" t="n">
        <v>1000</v>
      </c>
      <c r="F15" t="inlineStr">
        <is>
          <t>Photos, Events</t>
        </is>
      </c>
      <c r="G15" t="inlineStr">
        <is>
          <t>Full property 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36" customWidth="1" min="3" max="3"/>
    <col width="12" customWidth="1" min="4" max="4"/>
    <col width="10" customWidth="1" min="5" max="5"/>
    <col width="21" customWidth="1" min="6" max="6"/>
    <col width="41" customWidth="1" min="7" max="7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</row>
    <row r="3">
      <c r="A3" t="inlineStr">
        <is>
          <t>ID</t>
        </is>
      </c>
      <c r="B3" t="inlineStr">
        <is>
          <t>System</t>
        </is>
      </c>
      <c r="C3" t="inlineStr">
        <is>
          <t>Purpose</t>
        </is>
      </c>
      <c r="D3" t="inlineStr">
        <is>
          <t>Category</t>
        </is>
      </c>
      <c r="E3" t="inlineStr">
        <is>
          <t>Status</t>
        </is>
      </c>
      <c r="F3" t="inlineStr">
        <is>
          <t>URL</t>
        </is>
      </c>
      <c r="G3" t="inlineStr">
        <is>
          <t>Notes</t>
        </is>
      </c>
    </row>
    <row r="4">
      <c r="A4" t="inlineStr">
        <is>
          <t>SYS-001</t>
        </is>
      </c>
      <c r="B4" t="inlineStr">
        <is>
          <t>Easy Cater</t>
        </is>
      </c>
      <c r="C4" t="inlineStr">
        <is>
          <t>Catering marketplace + lead source</t>
        </is>
      </c>
      <c r="D4" t="inlineStr">
        <is>
          <t>Sales</t>
        </is>
      </c>
      <c r="E4" t="inlineStr">
        <is>
          <t>Active</t>
        </is>
      </c>
      <c r="F4" t="inlineStr">
        <is>
          <t>easycater.com</t>
        </is>
      </c>
      <c r="G4" t="inlineStr">
        <is>
          <t>Primary catering channel</t>
        </is>
      </c>
    </row>
    <row r="5">
      <c r="A5" t="inlineStr">
        <is>
          <t>SYS-002</t>
        </is>
      </c>
      <c r="B5" t="inlineStr">
        <is>
          <t>Square</t>
        </is>
      </c>
      <c r="C5" t="inlineStr">
        <is>
          <t>POS, payments, invoicing</t>
        </is>
      </c>
      <c r="D5" t="inlineStr">
        <is>
          <t>Payment</t>
        </is>
      </c>
      <c r="E5" t="inlineStr">
        <is>
          <t>Active</t>
        </is>
      </c>
      <c r="F5" t="inlineStr">
        <is>
          <t>squareup.com</t>
        </is>
      </c>
      <c r="G5" t="inlineStr">
        <is>
          <t>Expanding to replace separate invoicing</t>
        </is>
      </c>
    </row>
    <row r="6">
      <c r="A6" t="inlineStr">
        <is>
          <t>SYS-003</t>
        </is>
      </c>
      <c r="B6" t="inlineStr">
        <is>
          <t>Calendly</t>
        </is>
      </c>
      <c r="C6" t="inlineStr">
        <is>
          <t>Scheduling</t>
        </is>
      </c>
      <c r="D6" t="inlineStr">
        <is>
          <t>Sales</t>
        </is>
      </c>
      <c r="E6" t="inlineStr">
        <is>
          <t>Active</t>
        </is>
      </c>
      <c r="F6" t="inlineStr">
        <is>
          <t>calendly.com</t>
        </is>
      </c>
    </row>
    <row r="7">
      <c r="A7" t="inlineStr">
        <is>
          <t>SYS-004</t>
        </is>
      </c>
      <c r="B7" t="inlineStr">
        <is>
          <t>Agile CRM</t>
        </is>
      </c>
      <c r="C7" t="inlineStr">
        <is>
          <t>Lead tracking</t>
        </is>
      </c>
      <c r="D7" t="inlineStr">
        <is>
          <t>CRM</t>
        </is>
      </c>
      <c r="E7" t="inlineStr">
        <is>
          <t>Active</t>
        </is>
      </c>
      <c r="F7" t="inlineStr">
        <is>
          <t>agilecrm.com</t>
        </is>
      </c>
      <c r="G7" t="inlineStr">
        <is>
          <t>Considering replacement</t>
        </is>
      </c>
    </row>
    <row r="8">
      <c r="A8" t="inlineStr">
        <is>
          <t>SYS-005</t>
        </is>
      </c>
      <c r="B8" t="inlineStr">
        <is>
          <t>Constant Contact</t>
        </is>
      </c>
      <c r="C8" t="inlineStr">
        <is>
          <t>Email marketing</t>
        </is>
      </c>
      <c r="D8" t="inlineStr">
        <is>
          <t>Marketing</t>
        </is>
      </c>
      <c r="E8" t="inlineStr">
        <is>
          <t>Active</t>
        </is>
      </c>
      <c r="F8" t="inlineStr">
        <is>
          <t>constantcontact.com</t>
        </is>
      </c>
    </row>
    <row r="9">
      <c r="A9" t="inlineStr">
        <is>
          <t>SYS-006</t>
        </is>
      </c>
      <c r="B9" t="inlineStr">
        <is>
          <t>Crexendo</t>
        </is>
      </c>
      <c r="C9" t="inlineStr">
        <is>
          <t>Phone system</t>
        </is>
      </c>
      <c r="D9" t="inlineStr">
        <is>
          <t>Phone</t>
        </is>
      </c>
      <c r="E9" t="inlineStr">
        <is>
          <t>Active</t>
        </is>
      </c>
      <c r="F9" t="inlineStr">
        <is>
          <t>crexendo.com</t>
        </is>
      </c>
      <c r="G9" t="inlineStr">
        <is>
          <t>IP Phone CX340</t>
        </is>
      </c>
    </row>
    <row r="10">
      <c r="A10" t="inlineStr">
        <is>
          <t>SYS-007</t>
        </is>
      </c>
      <c r="B10" t="inlineStr">
        <is>
          <t>Rezovations</t>
        </is>
      </c>
      <c r="C10" t="inlineStr">
        <is>
          <t>B&amp;B booking</t>
        </is>
      </c>
      <c r="D10" t="inlineStr">
        <is>
          <t>Booking</t>
        </is>
      </c>
      <c r="E10" t="inlineStr">
        <is>
          <t>Active</t>
        </is>
      </c>
      <c r="F10" t="inlineStr">
        <is>
          <t>rezovations.com</t>
        </is>
      </c>
      <c r="G10" t="inlineStr">
        <is>
          <t>Linked with B&amp;B.com</t>
        </is>
      </c>
    </row>
    <row r="11">
      <c r="A11" t="inlineStr">
        <is>
          <t>SYS-008</t>
        </is>
      </c>
      <c r="B11" t="inlineStr">
        <is>
          <t>Booking.com</t>
        </is>
      </c>
      <c r="C11" t="inlineStr">
        <is>
          <t>B&amp;B booking</t>
        </is>
      </c>
      <c r="D11" t="inlineStr">
        <is>
          <t>Booking</t>
        </is>
      </c>
      <c r="E11" t="inlineStr">
        <is>
          <t>Active</t>
        </is>
      </c>
      <c r="F11" t="inlineStr">
        <is>
          <t>booking.com</t>
        </is>
      </c>
      <c r="G11" t="inlineStr">
        <is>
          <t>Property ID: 1919255</t>
        </is>
      </c>
    </row>
    <row r="12">
      <c r="A12" t="inlineStr">
        <is>
          <t>SYS-009</t>
        </is>
      </c>
      <c r="B12" t="inlineStr">
        <is>
          <t>Bedandbreakfast.com</t>
        </is>
      </c>
      <c r="C12" t="inlineStr">
        <is>
          <t>B&amp;B booking</t>
        </is>
      </c>
      <c r="D12" t="inlineStr">
        <is>
          <t>Booking</t>
        </is>
      </c>
      <c r="E12" t="inlineStr">
        <is>
          <t>Active</t>
        </is>
      </c>
      <c r="F12" t="inlineStr">
        <is>
          <t>bedandbreakfast.com</t>
        </is>
      </c>
    </row>
    <row r="13">
      <c r="A13" t="inlineStr">
        <is>
          <t>SYS-010</t>
        </is>
      </c>
      <c r="B13" t="inlineStr">
        <is>
          <t>The Knot</t>
        </is>
      </c>
      <c r="C13" t="inlineStr">
        <is>
          <t>Wedding directory</t>
        </is>
      </c>
      <c r="D13" t="inlineStr">
        <is>
          <t>Marketing</t>
        </is>
      </c>
      <c r="E13" t="inlineStr">
        <is>
          <t>Active</t>
        </is>
      </c>
      <c r="F13" t="inlineStr">
        <is>
          <t>theknot.com</t>
        </is>
      </c>
    </row>
    <row r="14">
      <c r="A14" t="inlineStr">
        <is>
          <t>SYS-011</t>
        </is>
      </c>
      <c r="B14" t="inlineStr">
        <is>
          <t>WeddingWire</t>
        </is>
      </c>
      <c r="C14" t="inlineStr">
        <is>
          <t>Wedding directory</t>
        </is>
      </c>
      <c r="D14" t="inlineStr">
        <is>
          <t>Marketing</t>
        </is>
      </c>
      <c r="E14" t="inlineStr">
        <is>
          <t>Active</t>
        </is>
      </c>
      <c r="F14" t="inlineStr">
        <is>
          <t>weddingwire.com</t>
        </is>
      </c>
    </row>
    <row r="15">
      <c r="A15" t="inlineStr">
        <is>
          <t>SYS-012</t>
        </is>
      </c>
      <c r="B15" t="inlineStr">
        <is>
          <t>Google Calendar</t>
        </is>
      </c>
      <c r="C15" t="inlineStr">
        <is>
          <t>Scheduling</t>
        </is>
      </c>
      <c r="D15" t="inlineStr">
        <is>
          <t>Operations</t>
        </is>
      </c>
      <c r="E15" t="inlineStr">
        <is>
          <t>Active</t>
        </is>
      </c>
      <c r="F15" t="inlineStr">
        <is>
          <t>calendar.google.com</t>
        </is>
      </c>
    </row>
    <row r="16">
      <c r="A16" t="inlineStr">
        <is>
          <t>SYS-013</t>
        </is>
      </c>
      <c r="B16" t="inlineStr">
        <is>
          <t>Dropbox</t>
        </is>
      </c>
      <c r="C16" t="inlineStr">
        <is>
          <t>File storage</t>
        </is>
      </c>
      <c r="D16" t="inlineStr">
        <is>
          <t>Storage</t>
        </is>
      </c>
      <c r="E16" t="inlineStr">
        <is>
          <t>Active</t>
        </is>
      </c>
      <c r="F16" t="inlineStr">
        <is>
          <t>dropbox.com</t>
        </is>
      </c>
    </row>
  </sheetData>
  <dataValidations count="1">
    <dataValidation sqref="E3:E15" showDropDown="0" showInputMessage="0" showErrorMessage="0" allowBlank="1" type="list">
      <formula1>"Active,Deprecated,Planned"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15" customWidth="1" min="3" max="3"/>
    <col width="15" customWidth="1" min="4" max="4"/>
    <col width="13" customWidth="1" min="5" max="5"/>
    <col width="10" customWidth="1" min="6" max="6"/>
    <col width="17" customWidth="1" min="7" max="7"/>
    <col width="10" customWidth="1" min="8" max="8"/>
    <col width="45" customWidth="1" min="10" max="10"/>
  </cols>
  <sheetData>
    <row r="1">
      <c r="A1" s="4">
        <f>HYPERLINK("#DASHBOARD!A1", "← Dashboard")</f>
        <v/>
      </c>
      <c r="K1" s="16" t="inlineStr">
        <is>
          <t>GitHub URL</t>
        </is>
      </c>
    </row>
    <row r="2">
      <c r="A2" s="5" t="inlineStr"/>
      <c r="B2" s="5" t="n"/>
      <c r="C2" s="5" t="n"/>
      <c r="D2" s="5" t="n"/>
      <c r="E2" s="5" t="n"/>
      <c r="F2" s="5" t="n"/>
      <c r="G2" s="5" t="n"/>
      <c r="H2" s="5" t="n"/>
      <c r="K2" s="17" t="inlineStr">
        <is>
          <t>View Document</t>
        </is>
      </c>
    </row>
    <row r="3">
      <c r="A3" t="inlineStr">
        <is>
          <t>ID</t>
        </is>
      </c>
      <c r="B3" t="inlineStr">
        <is>
          <t>Package</t>
        </is>
      </c>
      <c r="C3" t="inlineStr">
        <is>
          <t>Price Mon-Thu</t>
        </is>
      </c>
      <c r="D3" t="inlineStr">
        <is>
          <t>Price Fri-Sun</t>
        </is>
      </c>
      <c r="E3" t="inlineStr">
        <is>
          <t>Base Guests</t>
        </is>
      </c>
      <c r="F3" t="inlineStr">
        <is>
          <t>Duration</t>
        </is>
      </c>
      <c r="G3" t="inlineStr">
        <is>
          <t>Per Person Over</t>
        </is>
      </c>
      <c r="H3" t="inlineStr">
        <is>
          <t>Deposit</t>
        </is>
      </c>
      <c r="I3" t="inlineStr">
        <is>
          <t>Description</t>
        </is>
      </c>
      <c r="J3" s="6" t="inlineStr">
        <is>
          <t>What's Included</t>
        </is>
      </c>
      <c r="K3" s="17" t="inlineStr">
        <is>
          <t>View Document</t>
        </is>
      </c>
    </row>
    <row r="4">
      <c r="A4" t="inlineStr">
        <is>
          <t>WED-001</t>
        </is>
      </c>
      <c r="B4" t="inlineStr">
        <is>
          <t>Dream Package</t>
        </is>
      </c>
      <c r="C4" t="n">
        <v>12900</v>
      </c>
      <c r="D4" t="n">
        <v>12900</v>
      </c>
      <c r="E4" t="n">
        <v>100</v>
      </c>
      <c r="F4" t="inlineStr">
        <is>
          <t>5 hrs</t>
        </is>
      </c>
      <c r="G4" t="n">
        <v>20</v>
      </c>
      <c r="H4" t="n">
        <v>2000</v>
      </c>
      <c r="I4" t="inlineStr">
        <is>
          <t>Ceremony + Reception</t>
        </is>
      </c>
      <c r="J4" s="7" t="inlineStr">
        <is>
          <t>Ceremony spaces (White Chapel, Waterfall Gazebo), Reception hall, Bridal cottage, Jail/groom prep, 5-hour rental</t>
        </is>
      </c>
      <c r="K4" s="17" t="inlineStr">
        <is>
          <t>View Document</t>
        </is>
      </c>
    </row>
    <row r="5">
      <c r="A5" t="inlineStr">
        <is>
          <t>WED-002</t>
        </is>
      </c>
      <c r="B5" t="inlineStr">
        <is>
          <t>Simple Elegance</t>
        </is>
      </c>
      <c r="C5" t="n">
        <v>7800</v>
      </c>
      <c r="D5" t="n">
        <v>8800</v>
      </c>
      <c r="E5" t="n">
        <v>50</v>
      </c>
      <c r="F5" t="inlineStr">
        <is>
          <t>3.5 hrs</t>
        </is>
      </c>
      <c r="G5" t="n">
        <v>35</v>
      </c>
      <c r="H5" t="n">
        <v>2000</v>
      </c>
      <c r="I5" t="inlineStr">
        <is>
          <t>Weekday/Weekend pricing</t>
        </is>
      </c>
      <c r="J5" s="7" t="inlineStr">
        <is>
          <t>Ceremony + Reception, Smaller capacity, More intimate setting, 3.5-hour rental</t>
        </is>
      </c>
      <c r="K5" s="17" t="inlineStr">
        <is>
          <t>View Document</t>
        </is>
      </c>
    </row>
    <row r="6">
      <c r="A6" t="inlineStr">
        <is>
          <t>WED-003</t>
        </is>
      </c>
      <c r="B6" t="inlineStr">
        <is>
          <t>Reception Only</t>
        </is>
      </c>
      <c r="C6" t="n">
        <v>11400</v>
      </c>
      <c r="D6" t="n">
        <v>11400</v>
      </c>
      <c r="E6" t="n">
        <v>100</v>
      </c>
      <c r="F6" t="inlineStr">
        <is>
          <t>4 hrs</t>
        </is>
      </c>
      <c r="G6" t="n">
        <v>20</v>
      </c>
      <c r="H6" t="n">
        <v>2000</v>
      </c>
      <c r="I6" t="inlineStr">
        <is>
          <t>Reception only</t>
        </is>
      </c>
      <c r="J6" s="7" t="inlineStr">
        <is>
          <t>Reception hall only, No ceremony included, 4-hour rental</t>
        </is>
      </c>
      <c r="K6" s="17" t="inlineStr">
        <is>
          <t>View Document</t>
        </is>
      </c>
    </row>
    <row r="7">
      <c r="A7" t="inlineStr">
        <is>
          <t>WED-004</t>
        </is>
      </c>
      <c r="B7" t="inlineStr">
        <is>
          <t>Micro Wedding (Saloon &amp; Town Merry)</t>
        </is>
      </c>
      <c r="C7" t="n">
        <v>3200</v>
      </c>
      <c r="D7" t="n">
        <v>4200</v>
      </c>
      <c r="E7" t="n">
        <v>20</v>
      </c>
      <c r="F7" t="inlineStr">
        <is>
          <t>2.5 hrs</t>
        </is>
      </c>
      <c r="G7" t="n">
        <v>35</v>
      </c>
      <c r="H7" t="n">
        <v>1500</v>
      </c>
      <c r="I7" t="inlineStr">
        <is>
          <t>Small intimate weddings</t>
        </is>
      </c>
      <c r="J7" s="7" t="inlineStr">
        <is>
          <t>Saloon &amp; Town spaces, Smallest capacity, Perfect for intimate gatherings, 2.5-hour rental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10" customWidth="1" min="3" max="3"/>
    <col width="14" customWidth="1" min="4" max="4"/>
    <col width="11" customWidth="1" min="5" max="5"/>
    <col width="11" customWidth="1" min="6" max="6"/>
    <col width="18" customWidth="1" min="7" max="7"/>
    <col width="10" customWidth="1" min="8" max="8"/>
    <col width="11" customWidth="1" min="9" max="9"/>
  </cols>
  <sheetData>
    <row r="1">
      <c r="A1" s="4">
        <f>HYPERLINK("#DASHBOARD!A1", "← Dashboard")</f>
        <v/>
      </c>
      <c r="J1" s="16" t="inlineStr">
        <is>
          <t>GitHub URL</t>
        </is>
      </c>
    </row>
    <row r="2">
      <c r="A2" s="5" t="inlineStr"/>
      <c r="B2" s="5" t="n"/>
      <c r="C2" s="5" t="n"/>
      <c r="D2" s="5" t="n"/>
      <c r="E2" s="5" t="n"/>
      <c r="F2" s="5" t="n"/>
      <c r="G2" s="5" t="n"/>
      <c r="H2" s="5" t="n"/>
      <c r="I2" s="5" t="n"/>
      <c r="J2" s="17" t="inlineStr">
        <is>
          <t>View Document</t>
        </is>
      </c>
    </row>
    <row r="3">
      <c r="A3" t="inlineStr">
        <is>
          <t>ID</t>
        </is>
      </c>
      <c r="B3" t="inlineStr">
        <is>
          <t>Package</t>
        </is>
      </c>
      <c r="C3" t="inlineStr">
        <is>
          <t>Price</t>
        </is>
      </c>
      <c r="D3" t="inlineStr">
        <is>
          <t>Duration</t>
        </is>
      </c>
      <c r="E3" t="inlineStr">
        <is>
          <t>Guest Min</t>
        </is>
      </c>
      <c r="F3" t="inlineStr">
        <is>
          <t>Guest Max</t>
        </is>
      </c>
      <c r="G3" t="inlineStr">
        <is>
          <t>Additional Hours</t>
        </is>
      </c>
      <c r="H3" t="inlineStr">
        <is>
          <t>Deposit</t>
        </is>
      </c>
      <c r="I3" t="inlineStr">
        <is>
          <t>Category</t>
        </is>
      </c>
      <c r="J3" s="17" t="inlineStr">
        <is>
          <t>View Document</t>
        </is>
      </c>
    </row>
    <row r="4">
      <c r="A4" t="inlineStr">
        <is>
          <t>EVT-001</t>
        </is>
      </c>
      <c r="B4" t="inlineStr">
        <is>
          <t>Reception Hall Afternoon</t>
        </is>
      </c>
      <c r="C4" t="n">
        <v>600</v>
      </c>
      <c r="D4" t="inlineStr">
        <is>
          <t>3 hrs</t>
        </is>
      </c>
      <c r="E4" t="n">
        <v>50</v>
      </c>
      <c r="F4" t="n">
        <v>200</v>
      </c>
      <c r="G4" t="n">
        <v>0</v>
      </c>
      <c r="H4" t="n">
        <v>1000</v>
      </c>
      <c r="I4" t="inlineStr">
        <is>
          <t>Hall</t>
        </is>
      </c>
      <c r="J4" s="17" t="inlineStr">
        <is>
          <t>View Document</t>
        </is>
      </c>
    </row>
    <row r="5">
      <c r="A5" t="inlineStr">
        <is>
          <t>EVT-002</t>
        </is>
      </c>
      <c r="B5" t="inlineStr">
        <is>
          <t>Reception Hall Fri/Sun Eve</t>
        </is>
      </c>
      <c r="C5" t="n">
        <v>1500</v>
      </c>
      <c r="D5" t="inlineStr">
        <is>
          <t>3 hrs</t>
        </is>
      </c>
      <c r="E5" t="n">
        <v>50</v>
      </c>
      <c r="F5" t="n">
        <v>200</v>
      </c>
      <c r="G5" t="n">
        <v>375</v>
      </c>
      <c r="H5" t="n">
        <v>1000</v>
      </c>
      <c r="I5" t="inlineStr">
        <is>
          <t>Hall</t>
        </is>
      </c>
      <c r="J5" s="17" t="inlineStr">
        <is>
          <t>View Document</t>
        </is>
      </c>
    </row>
    <row r="6">
      <c r="A6" t="inlineStr">
        <is>
          <t>EVT-003</t>
        </is>
      </c>
      <c r="B6" t="inlineStr">
        <is>
          <t>Reception Hall Saturday Eve</t>
        </is>
      </c>
      <c r="C6" t="n">
        <v>2000</v>
      </c>
      <c r="D6" t="inlineStr">
        <is>
          <t>3 hrs</t>
        </is>
      </c>
      <c r="E6" t="n">
        <v>50</v>
      </c>
      <c r="F6" t="n">
        <v>200</v>
      </c>
      <c r="G6" t="n">
        <v>375</v>
      </c>
      <c r="H6" t="n">
        <v>1000</v>
      </c>
      <c r="I6" t="inlineStr">
        <is>
          <t>Hall</t>
        </is>
      </c>
    </row>
    <row r="7">
      <c r="A7" t="inlineStr">
        <is>
          <t>EVT-004</t>
        </is>
      </c>
      <c r="B7" t="inlineStr">
        <is>
          <t>Saloon Afternoon</t>
        </is>
      </c>
      <c r="C7" t="n">
        <v>500</v>
      </c>
      <c r="D7" t="inlineStr">
        <is>
          <t>3 hrs</t>
        </is>
      </c>
      <c r="E7" t="n">
        <v>30</v>
      </c>
      <c r="F7" t="n">
        <v>50</v>
      </c>
      <c r="G7" t="n">
        <v>0</v>
      </c>
      <c r="H7" t="n">
        <v>300</v>
      </c>
      <c r="I7" t="inlineStr">
        <is>
          <t>Saloon</t>
        </is>
      </c>
    </row>
    <row r="8">
      <c r="A8" t="inlineStr">
        <is>
          <t>EVT-005</t>
        </is>
      </c>
      <c r="B8" t="inlineStr">
        <is>
          <t>Saloon Fri/Sun Eve</t>
        </is>
      </c>
      <c r="C8" t="n">
        <v>1500</v>
      </c>
      <c r="D8" t="inlineStr">
        <is>
          <t>3 hrs</t>
        </is>
      </c>
      <c r="E8" t="n">
        <v>30</v>
      </c>
      <c r="F8" t="n">
        <v>50</v>
      </c>
      <c r="G8" t="n">
        <v>375</v>
      </c>
      <c r="H8" t="n">
        <v>300</v>
      </c>
      <c r="I8" t="inlineStr">
        <is>
          <t>Saloon</t>
        </is>
      </c>
    </row>
    <row r="9">
      <c r="A9" t="inlineStr">
        <is>
          <t>EVT-006</t>
        </is>
      </c>
      <c r="B9" t="inlineStr">
        <is>
          <t>Saloon Saturday Eve</t>
        </is>
      </c>
      <c r="C9" t="n">
        <v>2000</v>
      </c>
      <c r="D9" t="inlineStr">
        <is>
          <t>3 hrs</t>
        </is>
      </c>
      <c r="E9" t="n">
        <v>30</v>
      </c>
      <c r="F9" t="n">
        <v>50</v>
      </c>
      <c r="G9" t="n">
        <v>375</v>
      </c>
      <c r="H9" t="n">
        <v>300</v>
      </c>
      <c r="I9" t="inlineStr">
        <is>
          <t>Saloon</t>
        </is>
      </c>
    </row>
    <row r="10">
      <c r="A10" t="inlineStr">
        <is>
          <t>EVT-007</t>
        </is>
      </c>
      <c r="B10" t="inlineStr">
        <is>
          <t>Mixed Tea Bar</t>
        </is>
      </c>
      <c r="C10" t="n">
        <v>19.95</v>
      </c>
      <c r="D10" t="inlineStr">
        <is>
          <t>3pm or 4-7pm</t>
        </is>
      </c>
      <c r="E10" t="n">
        <v>25</v>
      </c>
      <c r="F10" t="n">
        <v>45</v>
      </c>
      <c r="G10" t="n">
        <v>0</v>
      </c>
      <c r="H10" t="n">
        <v>200</v>
      </c>
      <c r="I10" t="inlineStr">
        <is>
          <t>Tearoom</t>
        </is>
      </c>
    </row>
    <row r="11">
      <c r="A11" t="inlineStr">
        <is>
          <t>EVT-008</t>
        </is>
      </c>
      <c r="B11" t="inlineStr">
        <is>
          <t>School Banquet</t>
        </is>
      </c>
      <c r="C11" t="n">
        <v>34</v>
      </c>
      <c r="D11" t="inlineStr">
        <is>
          <t>3 hrs</t>
        </is>
      </c>
      <c r="E11" t="n">
        <v>50</v>
      </c>
      <c r="F11" t="n">
        <v>200</v>
      </c>
      <c r="G11" t="n">
        <v>0</v>
      </c>
      <c r="H11" t="n">
        <v>500</v>
      </c>
      <c r="I11" t="inlineStr">
        <is>
          <t>Banquet</t>
        </is>
      </c>
    </row>
    <row r="12">
      <c r="A12" t="inlineStr">
        <is>
          <t>EVT-009</t>
        </is>
      </c>
      <c r="B12" t="inlineStr">
        <is>
          <t>Company Picnic - Grounds</t>
        </is>
      </c>
      <c r="C12" t="n">
        <v>2500</v>
      </c>
      <c r="D12" t="inlineStr">
        <is>
          <t>4 hrs</t>
        </is>
      </c>
      <c r="E12" t="n">
        <v>0</v>
      </c>
      <c r="F12" t="n">
        <v>500</v>
      </c>
      <c r="G12" t="n">
        <v>0</v>
      </c>
      <c r="H12" t="n">
        <v>1000</v>
      </c>
      <c r="I12" t="inlineStr">
        <is>
          <t>Corporate</t>
        </is>
      </c>
    </row>
    <row r="13">
      <c r="A13" t="inlineStr">
        <is>
          <t>EVT-010</t>
        </is>
      </c>
      <c r="B13" t="inlineStr">
        <is>
          <t>Tent Rental (100)</t>
        </is>
      </c>
      <c r="C13" t="n">
        <v>3000</v>
      </c>
      <c r="E13" t="n">
        <v>0</v>
      </c>
      <c r="F13" t="n">
        <v>100</v>
      </c>
      <c r="G13" t="n">
        <v>0</v>
      </c>
      <c r="H13" t="n">
        <v>0</v>
      </c>
      <c r="I13" t="inlineStr">
        <is>
          <t>Corporate</t>
        </is>
      </c>
    </row>
    <row r="14">
      <c r="A14" t="inlineStr">
        <is>
          <t>EVT-011</t>
        </is>
      </c>
      <c r="B14" t="inlineStr">
        <is>
          <t>Trolley Service</t>
        </is>
      </c>
      <c r="C14" t="n">
        <v>2115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Corporate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18" customWidth="1" min="3" max="3"/>
    <col width="19" customWidth="1" min="4" max="4"/>
    <col width="36" customWidth="1" min="5" max="5"/>
  </cols>
  <sheetData>
    <row r="1">
      <c r="A1" s="4">
        <f>HYPERLINK("#DASHBOARD!A1", "← Dashboard")</f>
        <v/>
      </c>
      <c r="F1" s="16" t="inlineStr">
        <is>
          <t>GitHub URL</t>
        </is>
      </c>
    </row>
    <row r="2">
      <c r="A2" s="5" t="inlineStr"/>
      <c r="B2" s="5" t="n"/>
      <c r="C2" s="5" t="n"/>
      <c r="D2" s="5" t="n"/>
      <c r="E2" s="5" t="n"/>
      <c r="F2" s="17" t="inlineStr">
        <is>
          <t>View Document</t>
        </is>
      </c>
    </row>
    <row r="3">
      <c r="A3" t="inlineStr">
        <is>
          <t>ID</t>
        </is>
      </c>
      <c r="B3" t="inlineStr">
        <is>
          <t>Menu</t>
        </is>
      </c>
      <c r="C3" t="inlineStr">
        <is>
          <t>Price Per Person</t>
        </is>
      </c>
      <c r="D3" t="inlineStr">
        <is>
          <t>Style</t>
        </is>
      </c>
      <c r="E3" t="inlineStr">
        <is>
          <t>Description</t>
        </is>
      </c>
      <c r="F3" s="17" t="inlineStr">
        <is>
          <t>View Document</t>
        </is>
      </c>
    </row>
    <row r="4">
      <c r="A4" t="inlineStr">
        <is>
          <t>CAT-001</t>
        </is>
      </c>
      <c r="B4" t="inlineStr">
        <is>
          <t>All the Possibilities</t>
        </is>
      </c>
      <c r="C4" t="n">
        <v>22</v>
      </c>
      <c r="D4" t="inlineStr">
        <is>
          <t>Buffet</t>
        </is>
      </c>
      <c r="E4" t="inlineStr">
        <is>
          <t>Pasta focus with multiple options</t>
        </is>
      </c>
    </row>
    <row r="5">
      <c r="A5" t="inlineStr">
        <is>
          <t>CAT-002</t>
        </is>
      </c>
      <c r="B5" t="inlineStr">
        <is>
          <t>Sycamore Comfort</t>
        </is>
      </c>
      <c r="C5" t="n">
        <v>25</v>
      </c>
      <c r="D5" t="inlineStr">
        <is>
          <t>Buffet</t>
        </is>
      </c>
      <c r="E5" t="inlineStr">
        <is>
          <t>Chicken entrees with sides</t>
        </is>
      </c>
    </row>
    <row r="6">
      <c r="A6" t="inlineStr">
        <is>
          <t>CAT-003</t>
        </is>
      </c>
      <c r="B6" t="inlineStr">
        <is>
          <t>Texas Tradition</t>
        </is>
      </c>
      <c r="C6" t="n">
        <v>27</v>
      </c>
      <c r="D6" t="inlineStr">
        <is>
          <t>Buffet</t>
        </is>
      </c>
      <c r="E6" t="inlineStr">
        <is>
          <t>BBQ brisket + sausage</t>
        </is>
      </c>
    </row>
    <row r="7">
      <c r="A7" t="inlineStr">
        <is>
          <t>CAT-004</t>
        </is>
      </c>
      <c r="B7" t="inlineStr">
        <is>
          <t>Tex Mex Party Time</t>
        </is>
      </c>
      <c r="C7" t="n">
        <v>35</v>
      </c>
      <c r="D7" t="inlineStr">
        <is>
          <t>Buffet</t>
        </is>
      </c>
      <c r="E7" t="inlineStr">
        <is>
          <t>Fajitas + queso fountain included</t>
        </is>
      </c>
    </row>
    <row r="8">
      <c r="A8" t="inlineStr">
        <is>
          <t>CAT-005</t>
        </is>
      </c>
      <c r="B8" t="inlineStr">
        <is>
          <t>Gold Dinner Menu</t>
        </is>
      </c>
      <c r="C8" t="n">
        <v>39</v>
      </c>
      <c r="D8" t="inlineStr">
        <is>
          <t>Buffet/Plated</t>
        </is>
      </c>
      <c r="E8" t="inlineStr">
        <is>
          <t>Premium entree options</t>
        </is>
      </c>
    </row>
    <row r="9">
      <c r="A9" t="inlineStr">
        <is>
          <t>CAT-006</t>
        </is>
      </c>
      <c r="B9" t="inlineStr">
        <is>
          <t>Platinum Dinner Menu</t>
        </is>
      </c>
      <c r="C9" t="n">
        <v>44</v>
      </c>
      <c r="D9" t="inlineStr">
        <is>
          <t>Plated</t>
        </is>
      </c>
      <c r="E9" t="inlineStr">
        <is>
          <t>Two entree selections, highest tier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10" customWidth="1" min="3" max="3"/>
    <col width="10" customWidth="1" min="4" max="4"/>
    <col width="41" customWidth="1" min="5" max="5"/>
    <col width="23" customWidth="1" min="6" max="6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</row>
    <row r="3">
      <c r="A3" t="inlineStr">
        <is>
          <t>ID</t>
        </is>
      </c>
      <c r="B3" t="inlineStr">
        <is>
          <t>Package</t>
        </is>
      </c>
      <c r="C3" t="inlineStr">
        <is>
          <t>Price</t>
        </is>
      </c>
      <c r="D3" t="inlineStr">
        <is>
          <t>Capacity</t>
        </is>
      </c>
      <c r="E3" t="inlineStr">
        <is>
          <t>Includes</t>
        </is>
      </c>
      <c r="F3" t="inlineStr">
        <is>
          <t>Notes</t>
        </is>
      </c>
    </row>
    <row r="4">
      <c r="A4" t="inlineStr">
        <is>
          <t>BAR-001</t>
        </is>
      </c>
      <c r="B4" t="inlineStr">
        <is>
          <t>Open Bar (50 guests)</t>
        </is>
      </c>
      <c r="C4" t="n">
        <v>1150</v>
      </c>
      <c r="D4" t="n">
        <v>50</v>
      </c>
      <c r="E4" t="inlineStr">
        <is>
          <t>Bartender + officer, domestic beer/wine</t>
        </is>
      </c>
    </row>
    <row r="5">
      <c r="A5" t="inlineStr">
        <is>
          <t>BAR-002</t>
        </is>
      </c>
      <c r="B5" t="inlineStr">
        <is>
          <t>Open Bar (100 guests)</t>
        </is>
      </c>
      <c r="C5" t="n">
        <v>1675</v>
      </c>
      <c r="D5" t="n">
        <v>100</v>
      </c>
      <c r="E5" t="inlineStr">
        <is>
          <t>Bartender + officer, domestic beer/wine</t>
        </is>
      </c>
    </row>
    <row r="6">
      <c r="A6" t="inlineStr">
        <is>
          <t>BAR-003</t>
        </is>
      </c>
      <c r="B6" t="inlineStr">
        <is>
          <t>Cash Bar</t>
        </is>
      </c>
      <c r="C6" t="n">
        <v>675</v>
      </c>
      <c r="D6" t="inlineStr">
        <is>
          <t>Any</t>
        </is>
      </c>
      <c r="E6" t="inlineStr">
        <is>
          <t>Bartender + officer</t>
        </is>
      </c>
      <c r="F6" t="inlineStr">
        <is>
          <t>Guests pay $5/drink</t>
        </is>
      </c>
    </row>
    <row r="7">
      <c r="A7" t="inlineStr">
        <is>
          <t>BAR-004</t>
        </is>
      </c>
      <c r="B7" t="inlineStr">
        <is>
          <t>Per-person over 50/100</t>
        </is>
      </c>
      <c r="C7" t="n">
        <v>15</v>
      </c>
      <c r="E7" t="inlineStr">
        <is>
          <t>Additional capacity</t>
        </is>
      </c>
      <c r="F7" t="inlineStr">
        <is>
          <t>Add-on for open bar</t>
        </is>
      </c>
    </row>
    <row r="8">
      <c r="A8" t="inlineStr">
        <is>
          <t>BAR-005</t>
        </is>
      </c>
      <c r="B8" t="inlineStr">
        <is>
          <t>Liquor Setups</t>
        </is>
      </c>
      <c r="C8" t="n">
        <v>4.5</v>
      </c>
      <c r="E8" t="inlineStr">
        <is>
          <t>Sodas/juices</t>
        </is>
      </c>
      <c r="F8" t="inlineStr">
        <is>
          <t>Guest-supplied liquor</t>
        </is>
      </c>
    </row>
    <row r="9">
      <c r="A9" t="inlineStr">
        <is>
          <t>BAR-006</t>
        </is>
      </c>
      <c r="B9" t="inlineStr">
        <is>
          <t>Mimosa Bar</t>
        </is>
      </c>
      <c r="C9" t="n">
        <v>15</v>
      </c>
      <c r="E9" t="inlineStr">
        <is>
          <t>3 juices, 3 fruits, Moscato</t>
        </is>
      </c>
      <c r="F9" t="inlineStr">
        <is>
          <t>Popular brunch option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10" customWidth="1" min="3" max="3"/>
    <col width="12" customWidth="1" min="4" max="4"/>
    <col width="15" customWidth="1" min="5" max="5"/>
    <col width="42" customWidth="1" min="6" max="6"/>
  </cols>
  <sheetData>
    <row r="1">
      <c r="A1" s="4">
        <f>HYPERLINK("#DASHBOARD!A1", "← Dashboard")</f>
        <v/>
      </c>
      <c r="G1" s="16" t="inlineStr">
        <is>
          <t>GitHub URL</t>
        </is>
      </c>
    </row>
    <row r="2">
      <c r="A2" s="5" t="inlineStr"/>
      <c r="B2" s="5" t="n"/>
      <c r="C2" s="5" t="n"/>
      <c r="D2" s="5" t="n"/>
      <c r="E2" s="5" t="n"/>
      <c r="F2" s="5" t="n"/>
      <c r="G2" s="17" t="inlineStr">
        <is>
          <t>View Document</t>
        </is>
      </c>
    </row>
    <row r="3">
      <c r="A3" t="inlineStr">
        <is>
          <t>ID</t>
        </is>
      </c>
      <c r="B3" t="inlineStr">
        <is>
          <t>Item</t>
        </is>
      </c>
      <c r="C3" t="inlineStr">
        <is>
          <t>Price</t>
        </is>
      </c>
      <c r="D3" t="inlineStr">
        <is>
          <t>Unit</t>
        </is>
      </c>
      <c r="E3" t="inlineStr">
        <is>
          <t>Category</t>
        </is>
      </c>
      <c r="F3" t="inlineStr">
        <is>
          <t>Notes</t>
        </is>
      </c>
      <c r="G3" s="17" t="inlineStr">
        <is>
          <t>View Document</t>
        </is>
      </c>
    </row>
    <row r="4">
      <c r="A4" t="inlineStr">
        <is>
          <t>ADD-001</t>
        </is>
      </c>
      <c r="B4" t="inlineStr">
        <is>
          <t>Queso Fountain</t>
        </is>
      </c>
      <c r="C4" t="n">
        <v>7.5</v>
      </c>
      <c r="D4" t="inlineStr">
        <is>
          <t>per person</t>
        </is>
      </c>
      <c r="E4" t="inlineStr">
        <is>
          <t>Food</t>
        </is>
      </c>
      <c r="F4" t="inlineStr">
        <is>
          <t>100 guest minimum</t>
        </is>
      </c>
    </row>
    <row r="5">
      <c r="A5" t="inlineStr">
        <is>
          <t>ADD-002</t>
        </is>
      </c>
      <c r="B5" t="inlineStr">
        <is>
          <t>Mimosa Bar</t>
        </is>
      </c>
      <c r="C5" t="n">
        <v>15</v>
      </c>
      <c r="D5" t="inlineStr">
        <is>
          <t>per person</t>
        </is>
      </c>
      <c r="E5" t="inlineStr">
        <is>
          <t>Bar</t>
        </is>
      </c>
      <c r="F5" t="inlineStr">
        <is>
          <t>3 juices, 3 fruits, Moscato</t>
        </is>
      </c>
    </row>
    <row r="6">
      <c r="A6" t="inlineStr">
        <is>
          <t>ADD-003</t>
        </is>
      </c>
      <c r="B6" t="inlineStr">
        <is>
          <t>Early Bridal Cottage Access (10am)</t>
        </is>
      </c>
      <c r="C6" t="n">
        <v>500</v>
      </c>
      <c r="D6" t="inlineStr">
        <is>
          <t>flat</t>
        </is>
      </c>
      <c r="E6" t="inlineStr">
        <is>
          <t>Venue</t>
        </is>
      </c>
      <c r="F6" t="inlineStr">
        <is>
          <t>Early access for bride prep</t>
        </is>
      </c>
    </row>
    <row r="7">
      <c r="A7" t="inlineStr">
        <is>
          <t>ADD-004</t>
        </is>
      </c>
      <c r="B7" t="inlineStr">
        <is>
          <t>Town Sign Customized</t>
        </is>
      </c>
      <c r="C7" t="n">
        <v>175</v>
      </c>
      <c r="D7" t="inlineStr">
        <is>
          <t>flat</t>
        </is>
      </c>
      <c r="E7" t="inlineStr">
        <is>
          <t>Decor</t>
        </is>
      </c>
      <c r="F7" t="inlineStr">
        <is>
          <t>Personalized welcome sign</t>
        </is>
      </c>
    </row>
    <row r="8">
      <c r="A8" t="inlineStr">
        <is>
          <t>ADD-005</t>
        </is>
      </c>
      <c r="B8" t="inlineStr">
        <is>
          <t>Dance Floor</t>
        </is>
      </c>
      <c r="C8" t="n">
        <v>750</v>
      </c>
      <c r="D8" t="inlineStr">
        <is>
          <t>flat</t>
        </is>
      </c>
      <c r="E8" t="inlineStr">
        <is>
          <t>Equipment</t>
        </is>
      </c>
      <c r="F8" t="inlineStr">
        <is>
          <t>12x15, outdoor street</t>
        </is>
      </c>
    </row>
    <row r="9">
      <c r="A9" t="inlineStr">
        <is>
          <t>ADD-006</t>
        </is>
      </c>
      <c r="B9" t="inlineStr">
        <is>
          <t>Photo Booth</t>
        </is>
      </c>
      <c r="C9" t="n">
        <v>250</v>
      </c>
      <c r="D9" t="inlineStr">
        <is>
          <t>flat</t>
        </is>
      </c>
      <c r="E9" t="inlineStr">
        <is>
          <t>Entertainment</t>
        </is>
      </c>
    </row>
    <row r="10">
      <c r="A10" t="inlineStr">
        <is>
          <t>ADD-007</t>
        </is>
      </c>
      <c r="B10" t="inlineStr">
        <is>
          <t>Yard Games</t>
        </is>
      </c>
      <c r="C10" t="n">
        <v>1350</v>
      </c>
      <c r="D10" t="inlineStr">
        <is>
          <t>flat</t>
        </is>
      </c>
      <c r="E10" t="inlineStr">
        <is>
          <t>Entertainment</t>
        </is>
      </c>
      <c r="F10" t="inlineStr">
        <is>
          <t>Complete set</t>
        </is>
      </c>
    </row>
    <row r="11">
      <c r="A11" t="inlineStr">
        <is>
          <t>ADD-008</t>
        </is>
      </c>
      <c r="B11" t="inlineStr">
        <is>
          <t>Open Bar (50 guests)</t>
        </is>
      </c>
      <c r="C11" t="n">
        <v>1150</v>
      </c>
      <c r="D11" t="inlineStr">
        <is>
          <t>flat</t>
        </is>
      </c>
      <c r="E11" t="inlineStr">
        <is>
          <t>Bar</t>
        </is>
      </c>
      <c r="F11" t="inlineStr">
        <is>
          <t>Bartender + officer, beer/wine</t>
        </is>
      </c>
    </row>
    <row r="12">
      <c r="A12" t="inlineStr">
        <is>
          <t>ADD-009</t>
        </is>
      </c>
      <c r="B12" t="inlineStr">
        <is>
          <t>Open Bar (100 guests)</t>
        </is>
      </c>
      <c r="C12" t="n">
        <v>1675</v>
      </c>
      <c r="D12" t="inlineStr">
        <is>
          <t>flat</t>
        </is>
      </c>
      <c r="E12" t="inlineStr">
        <is>
          <t>Bar</t>
        </is>
      </c>
      <c r="F12" t="inlineStr">
        <is>
          <t>Bartender + officer, beer/wine</t>
        </is>
      </c>
    </row>
    <row r="13">
      <c r="A13" t="inlineStr">
        <is>
          <t>ADD-010</t>
        </is>
      </c>
      <c r="B13" t="inlineStr">
        <is>
          <t>Cash Bar</t>
        </is>
      </c>
      <c r="C13" t="n">
        <v>675</v>
      </c>
      <c r="D13" t="inlineStr">
        <is>
          <t>flat</t>
        </is>
      </c>
      <c r="E13" t="inlineStr">
        <is>
          <t>Bar</t>
        </is>
      </c>
      <c r="F13" t="inlineStr">
        <is>
          <t>Guests pay $5/drink, includes officer</t>
        </is>
      </c>
    </row>
    <row r="14">
      <c r="A14" t="inlineStr">
        <is>
          <t>ADD-011</t>
        </is>
      </c>
      <c r="B14" t="inlineStr">
        <is>
          <t>Bucket of Beer (jail)</t>
        </is>
      </c>
      <c r="C14" t="n">
        <v>10</v>
      </c>
      <c r="D14" t="inlineStr">
        <is>
          <t>per person</t>
        </is>
      </c>
      <c r="E14" t="inlineStr">
        <is>
          <t>Bar</t>
        </is>
      </c>
      <c r="F14" t="inlineStr">
        <is>
          <t>~2 beers/person</t>
        </is>
      </c>
    </row>
    <row r="15">
      <c r="A15" t="inlineStr">
        <is>
          <t>ADD-012</t>
        </is>
      </c>
      <c r="B15" t="inlineStr">
        <is>
          <t>Liquor Setups</t>
        </is>
      </c>
      <c r="C15" t="n">
        <v>4.5</v>
      </c>
      <c r="D15" t="inlineStr">
        <is>
          <t>per person</t>
        </is>
      </c>
      <c r="E15" t="inlineStr">
        <is>
          <t>Bar</t>
        </is>
      </c>
      <c r="F15" t="inlineStr">
        <is>
          <t>Sodas/juices, guest-supplied liquor</t>
        </is>
      </c>
    </row>
    <row r="16">
      <c r="A16" t="inlineStr">
        <is>
          <t>ADD-013</t>
        </is>
      </c>
      <c r="B16" t="inlineStr">
        <is>
          <t>Saloon Rental (additional)</t>
        </is>
      </c>
      <c r="C16" t="n">
        <v>850</v>
      </c>
      <c r="D16" t="inlineStr">
        <is>
          <t>flat</t>
        </is>
      </c>
      <c r="E16" t="inlineStr">
        <is>
          <t>Venue</t>
        </is>
      </c>
    </row>
    <row r="17">
      <c r="A17" t="inlineStr">
        <is>
          <t>ADD-014</t>
        </is>
      </c>
      <c r="B17" t="inlineStr">
        <is>
          <t>Saloon Rental (with alcohol)</t>
        </is>
      </c>
      <c r="C17" t="n">
        <v>650</v>
      </c>
      <c r="D17" t="inlineStr">
        <is>
          <t>flat</t>
        </is>
      </c>
      <c r="E17" t="inlineStr">
        <is>
          <t>Venue</t>
        </is>
      </c>
      <c r="F17" t="inlineStr">
        <is>
          <t>Discounted rate, up to $1600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24" customWidth="1" min="3" max="3"/>
    <col width="50" customWidth="1" min="4" max="4"/>
    <col width="14" customWidth="1" min="5" max="5"/>
  </cols>
  <sheetData>
    <row r="1">
      <c r="A1" s="4">
        <f>HYPERLINK("#DASHBOARD!A1", "← Dashboard")</f>
        <v/>
      </c>
      <c r="H1" s="16" t="inlineStr">
        <is>
          <t>GitHub URL</t>
        </is>
      </c>
    </row>
    <row r="2">
      <c r="A2" s="5" t="inlineStr"/>
      <c r="B2" s="5" t="n"/>
      <c r="C2" s="5" t="n"/>
      <c r="D2" s="5" t="n"/>
      <c r="E2" s="5" t="n"/>
      <c r="H2" s="17" t="inlineStr">
        <is>
          <t>View Document</t>
        </is>
      </c>
    </row>
    <row r="3">
      <c r="A3" t="inlineStr">
        <is>
          <t>ID</t>
        </is>
      </c>
      <c r="B3" t="inlineStr">
        <is>
          <t>Form Name</t>
        </is>
      </c>
      <c r="C3" t="inlineStr">
        <is>
          <t>Purpose</t>
        </is>
      </c>
      <c r="D3" t="inlineStr">
        <is>
          <t>Key Fields</t>
        </is>
      </c>
      <c r="E3" t="inlineStr">
        <is>
          <t>Event Type</t>
        </is>
      </c>
      <c r="F3" t="inlineStr">
        <is>
          <t>Details</t>
        </is>
      </c>
      <c r="G3" t="inlineStr">
        <is>
          <t>Fees</t>
        </is>
      </c>
      <c r="H3" s="17" t="inlineStr">
        <is>
          <t>View Document</t>
        </is>
      </c>
    </row>
    <row r="4">
      <c r="A4" t="inlineStr">
        <is>
          <t>FRM-001</t>
        </is>
      </c>
      <c r="B4" t="inlineStr">
        <is>
          <t>Wedding Booking Form</t>
        </is>
      </c>
      <c r="C4" t="inlineStr">
        <is>
          <t>Full weddings</t>
        </is>
      </c>
      <c r="D4" t="inlineStr">
        <is>
          <t>Ceremony location, reception, guest count, vendor tracking, payment</t>
        </is>
      </c>
      <c r="E4" t="inlineStr">
        <is>
          <t>Wedding</t>
        </is>
      </c>
      <c r="F4" t="inlineStr">
        <is>
          <t>Primary wedding contract form</t>
        </is>
      </c>
      <c r="H4" s="17" t="inlineStr">
        <is>
          <t>View Document</t>
        </is>
      </c>
    </row>
    <row r="5">
      <c r="A5" t="inlineStr">
        <is>
          <t>FRM-002</t>
        </is>
      </c>
      <c r="B5" t="inlineStr">
        <is>
          <t>Tasting Appointment Form</t>
        </is>
      </c>
      <c r="C5" t="inlineStr">
        <is>
          <t>Menu tastings</t>
        </is>
      </c>
      <c r="D5" t="inlineStr">
        <is>
          <t>Party name, date, guest count</t>
        </is>
      </c>
      <c r="E5" t="inlineStr">
        <is>
          <t>Tasting</t>
        </is>
      </c>
      <c r="F5" t="inlineStr">
        <is>
          <t>Free for 2 people</t>
        </is>
      </c>
      <c r="G5" t="inlineStr">
        <is>
          <t>$10/extra person, $50 late cancellation</t>
        </is>
      </c>
      <c r="H5" s="17" t="inlineStr">
        <is>
          <t>View Document</t>
        </is>
      </c>
    </row>
    <row r="6">
      <c r="A6" t="inlineStr">
        <is>
          <t>FRM-003</t>
        </is>
      </c>
      <c r="B6" t="inlineStr">
        <is>
          <t>Shower/Small Party Booking Form</t>
        </is>
      </c>
      <c r="C6" t="inlineStr">
        <is>
          <t>Showers, small parties</t>
        </is>
      </c>
      <c r="D6" t="inlineStr">
        <is>
          <t>Guest of honor, event type, cake, bar, menu</t>
        </is>
      </c>
      <c r="E6" t="inlineStr">
        <is>
          <t>Shower/Party</t>
        </is>
      </c>
      <c r="F6" t="inlineStr">
        <is>
          <t>Initial booking form</t>
        </is>
      </c>
      <c r="H6" s="17" t="inlineStr">
        <is>
          <t>View Document</t>
        </is>
      </c>
    </row>
    <row r="7">
      <c r="A7" t="inlineStr">
        <is>
          <t>FRM-004</t>
        </is>
      </c>
      <c r="B7" t="inlineStr">
        <is>
          <t>Shower/Small Party Contract</t>
        </is>
      </c>
      <c r="C7" t="inlineStr">
        <is>
          <t>Showers, small parties</t>
        </is>
      </c>
      <c r="D7" t="inlineStr">
        <is>
          <t>Full contract details</t>
        </is>
      </c>
      <c r="E7" t="inlineStr">
        <is>
          <t>Shower/Party</t>
        </is>
      </c>
      <c r="F7" t="inlineStr">
        <is>
          <t>Contract version of shower form</t>
        </is>
      </c>
      <c r="H7" s="17" t="inlineStr">
        <is>
          <t>View Document</t>
        </is>
      </c>
    </row>
    <row r="8">
      <c r="A8" t="inlineStr">
        <is>
          <t>FRM-005</t>
        </is>
      </c>
      <c r="B8" t="inlineStr">
        <is>
          <t>Corporate Booking Form</t>
        </is>
      </c>
      <c r="C8" t="inlineStr">
        <is>
          <t>Business events</t>
        </is>
      </c>
      <c r="D8" t="inlineStr">
        <is>
          <t>Company name, responsible party, event type, guest count</t>
        </is>
      </c>
      <c r="E8" t="inlineStr">
        <is>
          <t>Corporate</t>
        </is>
      </c>
      <c r="F8" t="inlineStr">
        <is>
          <t>Uses wedding contract template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12" customWidth="1" min="3" max="3"/>
    <col width="15" customWidth="1" min="4" max="4"/>
    <col width="28" customWidth="1" min="5" max="5"/>
    <col width="11" customWidth="1" min="6" max="6"/>
  </cols>
  <sheetData>
    <row r="1">
      <c r="A1" s="4">
        <f>HYPERLINK("#DASHBOARD!A1", "← Dashboard")</f>
        <v/>
      </c>
      <c r="G1" s="16" t="inlineStr">
        <is>
          <t>GitHub URL</t>
        </is>
      </c>
    </row>
    <row r="2">
      <c r="A2" s="5" t="inlineStr"/>
      <c r="B2" s="5" t="n"/>
      <c r="C2" s="5" t="n"/>
      <c r="D2" s="5" t="n"/>
      <c r="E2" s="5" t="n"/>
      <c r="F2" s="5" t="n"/>
      <c r="G2" s="17" t="inlineStr">
        <is>
          <t>View Document</t>
        </is>
      </c>
    </row>
    <row r="3">
      <c r="A3" t="inlineStr">
        <is>
          <t>ID</t>
        </is>
      </c>
      <c r="B3" t="inlineStr">
        <is>
          <t>Document</t>
        </is>
      </c>
      <c r="C3" t="inlineStr">
        <is>
          <t>Category</t>
        </is>
      </c>
      <c r="D3" t="inlineStr">
        <is>
          <t>Source File</t>
        </is>
      </c>
      <c r="E3" t="inlineStr">
        <is>
          <t>Description</t>
        </is>
      </c>
      <c r="F3" t="inlineStr">
        <is>
          <t>Status</t>
        </is>
      </c>
      <c r="G3" s="17" t="inlineStr">
        <is>
          <t>View Document</t>
        </is>
      </c>
    </row>
    <row r="4">
      <c r="A4" t="inlineStr">
        <is>
          <t>DOC-001</t>
        </is>
      </c>
      <c r="B4" t="inlineStr">
        <is>
          <t>vendor-contacts.md</t>
        </is>
      </c>
      <c r="C4" t="inlineStr">
        <is>
          <t>Contacts</t>
        </is>
      </c>
      <c r="D4" t="inlineStr">
        <is>
          <t>IMG_0415-0418</t>
        </is>
      </c>
      <c r="E4" t="inlineStr">
        <is>
          <t>80 logins, 46 vendors</t>
        </is>
      </c>
      <c r="F4" t="inlineStr">
        <is>
          <t>Extracted</t>
        </is>
      </c>
      <c r="G4" s="17" t="inlineStr">
        <is>
          <t>View Document</t>
        </is>
      </c>
    </row>
    <row r="5">
      <c r="A5" t="inlineStr">
        <is>
          <t>DOC-002</t>
        </is>
      </c>
      <c r="B5" t="inlineStr">
        <is>
          <t>training-manual.md</t>
        </is>
      </c>
      <c r="C5" t="inlineStr">
        <is>
          <t>Operations</t>
        </is>
      </c>
      <c r="D5" t="inlineStr">
        <is>
          <t>IMG_0419-0423</t>
        </is>
      </c>
      <c r="E5" t="inlineStr">
        <is>
          <t>Admin assistant duties</t>
        </is>
      </c>
      <c r="F5" t="inlineStr">
        <is>
          <t>Extracted</t>
        </is>
      </c>
      <c r="G5" s="17" t="inlineStr">
        <is>
          <t>View Document</t>
        </is>
      </c>
    </row>
    <row r="6">
      <c r="A6" t="inlineStr">
        <is>
          <t>DOC-003</t>
        </is>
      </c>
      <c r="B6" t="inlineStr">
        <is>
          <t>phone-system-guide.md</t>
        </is>
      </c>
      <c r="C6" t="inlineStr">
        <is>
          <t>Operations</t>
        </is>
      </c>
      <c r="D6" t="inlineStr">
        <is>
          <t>IMG_0425-0426</t>
        </is>
      </c>
      <c r="E6" t="inlineStr">
        <is>
          <t>Crexendo CX340 guide</t>
        </is>
      </c>
      <c r="F6" t="inlineStr">
        <is>
          <t>Extracted</t>
        </is>
      </c>
      <c r="G6" s="17" t="inlineStr">
        <is>
          <t>View Document</t>
        </is>
      </c>
    </row>
    <row r="7">
      <c r="A7" t="inlineStr">
        <is>
          <t>DOC-004</t>
        </is>
      </c>
      <c r="B7" t="inlineStr">
        <is>
          <t>catering-menu.md</t>
        </is>
      </c>
      <c r="C7" t="inlineStr">
        <is>
          <t>Products</t>
        </is>
      </c>
      <c r="D7" t="inlineStr">
        <is>
          <t>IMG_0446-0451</t>
        </is>
      </c>
      <c r="E7" t="inlineStr">
        <is>
          <t>Full catering menu</t>
        </is>
      </c>
      <c r="F7" t="inlineStr">
        <is>
          <t>Extracted</t>
        </is>
      </c>
      <c r="G7" s="17" t="inlineStr">
        <is>
          <t>View Document</t>
        </is>
      </c>
    </row>
    <row r="8">
      <c r="A8" t="inlineStr">
        <is>
          <t>DOC-005</t>
        </is>
      </c>
      <c r="B8" t="inlineStr">
        <is>
          <t>addons-wedding.md</t>
        </is>
      </c>
      <c r="C8" t="inlineStr">
        <is>
          <t>Products</t>
        </is>
      </c>
      <c r="D8" t="inlineStr">
        <is>
          <t>Binder</t>
        </is>
      </c>
      <c r="E8" t="inlineStr">
        <is>
          <t>Wedding add-on services</t>
        </is>
      </c>
      <c r="F8" t="inlineStr">
        <is>
          <t>Extracted</t>
        </is>
      </c>
      <c r="G8" s="17" t="inlineStr">
        <is>
          <t>View Document</t>
        </is>
      </c>
    </row>
    <row r="9">
      <c r="A9" t="inlineStr">
        <is>
          <t>DOC-006</t>
        </is>
      </c>
      <c r="B9" t="inlineStr">
        <is>
          <t>package-salon-town-merry.md</t>
        </is>
      </c>
      <c r="C9" t="inlineStr">
        <is>
          <t>Products</t>
        </is>
      </c>
      <c r="D9" t="inlineStr">
        <is>
          <t>Binder</t>
        </is>
      </c>
      <c r="E9" t="inlineStr">
        <is>
          <t>Wedding package details</t>
        </is>
      </c>
      <c r="F9" t="inlineStr">
        <is>
          <t>Extracted</t>
        </is>
      </c>
      <c r="G9" s="17" t="inlineStr">
        <is>
          <t>View Document</t>
        </is>
      </c>
    </row>
    <row r="10">
      <c r="A10" t="inlineStr">
        <is>
          <t>DOC-007</t>
        </is>
      </c>
      <c r="B10" t="inlineStr">
        <is>
          <t>package-simple-elegance.md</t>
        </is>
      </c>
      <c r="C10" t="inlineStr">
        <is>
          <t>Products</t>
        </is>
      </c>
      <c r="D10" t="inlineStr">
        <is>
          <t>Binder</t>
        </is>
      </c>
      <c r="E10" t="inlineStr">
        <is>
          <t>Wedding package details</t>
        </is>
      </c>
      <c r="F10" t="inlineStr">
        <is>
          <t>Extracted</t>
        </is>
      </c>
      <c r="G10" s="17" t="inlineStr">
        <is>
          <t>View Document</t>
        </is>
      </c>
    </row>
    <row r="11">
      <c r="A11" t="inlineStr">
        <is>
          <t>DOC-008</t>
        </is>
      </c>
      <c r="B11" t="inlineStr">
        <is>
          <t>package-food-truck.md</t>
        </is>
      </c>
      <c r="C11" t="inlineStr">
        <is>
          <t>Products</t>
        </is>
      </c>
      <c r="D11" t="inlineStr">
        <is>
          <t>Binder</t>
        </is>
      </c>
      <c r="E11" t="inlineStr">
        <is>
          <t>Wedding package details</t>
        </is>
      </c>
      <c r="F11" t="inlineStr">
        <is>
          <t>Extracted</t>
        </is>
      </c>
      <c r="G11" s="17" t="inlineStr">
        <is>
          <t>View Document</t>
        </is>
      </c>
    </row>
    <row r="12">
      <c r="A12" t="inlineStr">
        <is>
          <t>DOC-009</t>
        </is>
      </c>
      <c r="B12" t="inlineStr">
        <is>
          <t>package-dream.md</t>
        </is>
      </c>
      <c r="C12" t="inlineStr">
        <is>
          <t>Products</t>
        </is>
      </c>
      <c r="D12" t="inlineStr">
        <is>
          <t>Binder</t>
        </is>
      </c>
      <c r="E12" t="inlineStr">
        <is>
          <t>Wedding package details</t>
        </is>
      </c>
      <c r="F12" t="inlineStr">
        <is>
          <t>Extracted</t>
        </is>
      </c>
    </row>
    <row r="13">
      <c r="A13" t="inlineStr">
        <is>
          <t>DOC-010</t>
        </is>
      </c>
      <c r="B13" t="inlineStr">
        <is>
          <t>package-reception-only.md</t>
        </is>
      </c>
      <c r="C13" t="inlineStr">
        <is>
          <t>Products</t>
        </is>
      </c>
      <c r="D13" t="inlineStr">
        <is>
          <t>Binder</t>
        </is>
      </c>
      <c r="E13" t="inlineStr">
        <is>
          <t>Wedding package details</t>
        </is>
      </c>
      <c r="F13" t="inlineStr">
        <is>
          <t>Extracted</t>
        </is>
      </c>
    </row>
    <row r="14">
      <c r="A14" t="inlineStr">
        <is>
          <t>DOC-011</t>
        </is>
      </c>
      <c r="B14" t="inlineStr">
        <is>
          <t>packages-reception-hall.md</t>
        </is>
      </c>
      <c r="C14" t="inlineStr">
        <is>
          <t>Products</t>
        </is>
      </c>
      <c r="D14" t="inlineStr">
        <is>
          <t>Binder</t>
        </is>
      </c>
      <c r="E14" t="inlineStr">
        <is>
          <t>Event packages</t>
        </is>
      </c>
      <c r="F14" t="inlineStr">
        <is>
          <t>Extracted</t>
        </is>
      </c>
    </row>
    <row r="15">
      <c r="A15" t="inlineStr">
        <is>
          <t>DOC-012</t>
        </is>
      </c>
      <c r="B15" t="inlineStr">
        <is>
          <t>packages-salon-parties.md</t>
        </is>
      </c>
      <c r="C15" t="inlineStr">
        <is>
          <t>Products</t>
        </is>
      </c>
      <c r="D15" t="inlineStr">
        <is>
          <t>Binder</t>
        </is>
      </c>
      <c r="E15" t="inlineStr">
        <is>
          <t>Salon party packages</t>
        </is>
      </c>
      <c r="F15" t="inlineStr">
        <is>
          <t>Extracted</t>
        </is>
      </c>
    </row>
    <row r="16">
      <c r="A16" t="inlineStr">
        <is>
          <t>DOC-013</t>
        </is>
      </c>
      <c r="B16" t="inlineStr">
        <is>
          <t>package-salon-banquet.md</t>
        </is>
      </c>
      <c r="C16" t="inlineStr">
        <is>
          <t>Products</t>
        </is>
      </c>
      <c r="D16" t="inlineStr">
        <is>
          <t>Binder</t>
        </is>
      </c>
      <c r="E16" t="inlineStr">
        <is>
          <t>School banquet package</t>
        </is>
      </c>
      <c r="F16" t="inlineStr">
        <is>
          <t>Extracted</t>
        </is>
      </c>
    </row>
    <row r="17">
      <c r="A17" t="inlineStr">
        <is>
          <t>DOC-014</t>
        </is>
      </c>
      <c r="B17" t="inlineStr">
        <is>
          <t>proposal-company-picnic.md</t>
        </is>
      </c>
      <c r="C17" t="inlineStr">
        <is>
          <t>Products</t>
        </is>
      </c>
      <c r="D17" t="inlineStr">
        <is>
          <t>Binder</t>
        </is>
      </c>
      <c r="E17" t="inlineStr">
        <is>
          <t>Corporate event proposal</t>
        </is>
      </c>
      <c r="F17" t="inlineStr">
        <is>
          <t>Extracted</t>
        </is>
      </c>
    </row>
    <row r="18">
      <c r="A18" t="inlineStr">
        <is>
          <t>DOC-015</t>
        </is>
      </c>
      <c r="B18" t="inlineStr">
        <is>
          <t>booking-form-wedding.md</t>
        </is>
      </c>
      <c r="C18" t="inlineStr">
        <is>
          <t>Forms</t>
        </is>
      </c>
      <c r="D18" t="inlineStr">
        <is>
          <t>IMG_0412-0413</t>
        </is>
      </c>
      <c r="E18" t="inlineStr">
        <is>
          <t>Wedding booking template</t>
        </is>
      </c>
      <c r="F18" t="inlineStr">
        <is>
          <t>Extracted</t>
        </is>
      </c>
    </row>
    <row r="19">
      <c r="A19" t="inlineStr">
        <is>
          <t>DOC-016</t>
        </is>
      </c>
      <c r="B19" t="inlineStr">
        <is>
          <t>booking-form-shower.md</t>
        </is>
      </c>
      <c r="C19" t="inlineStr">
        <is>
          <t>Forms</t>
        </is>
      </c>
      <c r="D19" t="inlineStr">
        <is>
          <t>IMG_0403-0404</t>
        </is>
      </c>
      <c r="E19" t="inlineStr">
        <is>
          <t>Shower booking template</t>
        </is>
      </c>
      <c r="F19" t="inlineStr">
        <is>
          <t>Extracted</t>
        </is>
      </c>
    </row>
    <row r="20">
      <c r="A20" t="inlineStr">
        <is>
          <t>DOC-017</t>
        </is>
      </c>
      <c r="B20" t="inlineStr">
        <is>
          <t>booking-form-corporate.md</t>
        </is>
      </c>
      <c r="C20" t="inlineStr">
        <is>
          <t>Forms</t>
        </is>
      </c>
      <c r="D20" t="inlineStr">
        <is>
          <t>Binder</t>
        </is>
      </c>
      <c r="E20" t="inlineStr">
        <is>
          <t>Corporate booking template</t>
        </is>
      </c>
      <c r="F20" t="inlineStr">
        <is>
          <t>Extracted</t>
        </is>
      </c>
    </row>
    <row r="21">
      <c r="A21" t="inlineStr">
        <is>
          <t>DOC-018</t>
        </is>
      </c>
      <c r="B21" t="inlineStr">
        <is>
          <t>contract-package-shower.md</t>
        </is>
      </c>
      <c r="C21" t="inlineStr">
        <is>
          <t>Forms</t>
        </is>
      </c>
      <c r="D21" t="inlineStr">
        <is>
          <t>Binder</t>
        </is>
      </c>
      <c r="E21" t="inlineStr">
        <is>
          <t>Shower contract</t>
        </is>
      </c>
      <c r="F21" t="inlineStr">
        <is>
          <t>Extracted</t>
        </is>
      </c>
    </row>
    <row r="22">
      <c r="A22" t="inlineStr">
        <is>
          <t>DOC-019</t>
        </is>
      </c>
      <c r="B22" t="inlineStr">
        <is>
          <t>sales-script.md</t>
        </is>
      </c>
      <c r="C22" t="inlineStr">
        <is>
          <t>Sales</t>
        </is>
      </c>
      <c r="D22" t="inlineStr">
        <is>
          <t>Binder</t>
        </is>
      </c>
      <c r="E22" t="inlineStr">
        <is>
          <t>Phone script</t>
        </is>
      </c>
      <c r="F22" t="inlineStr">
        <is>
          <t>Extracted</t>
        </is>
      </c>
    </row>
    <row r="23">
      <c r="A23" t="inlineStr">
        <is>
          <t>DOC-020</t>
        </is>
      </c>
      <c r="B23" t="inlineStr">
        <is>
          <t>training-schedule.md</t>
        </is>
      </c>
      <c r="C23" t="inlineStr">
        <is>
          <t>Operations</t>
        </is>
      </c>
      <c r="D23" t="inlineStr">
        <is>
          <t>Binder</t>
        </is>
      </c>
      <c r="E23" t="inlineStr">
        <is>
          <t>Training schedule</t>
        </is>
      </c>
      <c r="F23" t="inlineStr">
        <is>
          <t>Extracted</t>
        </is>
      </c>
    </row>
    <row r="24">
      <c r="A24" t="inlineStr">
        <is>
          <t>DOC-021</t>
        </is>
      </c>
      <c r="B24" t="inlineStr">
        <is>
          <t>salon-party-packages.md</t>
        </is>
      </c>
      <c r="C24" t="inlineStr">
        <is>
          <t>Products</t>
        </is>
      </c>
      <c r="D24" t="inlineStr">
        <is>
          <t>Binder</t>
        </is>
      </c>
      <c r="E24" t="inlineStr">
        <is>
          <t>Salon party options</t>
        </is>
      </c>
      <c r="F24" t="inlineStr">
        <is>
          <t>Extracted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9" customWidth="1" min="3" max="3"/>
    <col width="10" customWidth="1" min="4" max="4"/>
    <col width="10" customWidth="1" min="5" max="5"/>
    <col width="10" customWidth="1" min="6" max="6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</row>
    <row r="3">
      <c r="A3" t="inlineStr">
        <is>
          <t>ID</t>
        </is>
      </c>
      <c r="B3" t="inlineStr">
        <is>
          <t>Initiative</t>
        </is>
      </c>
      <c r="C3" t="inlineStr">
        <is>
          <t>Description</t>
        </is>
      </c>
      <c r="D3" t="inlineStr">
        <is>
          <t>Status</t>
        </is>
      </c>
      <c r="E3" t="inlineStr">
        <is>
          <t>Priority</t>
        </is>
      </c>
      <c r="F3" t="inlineStr">
        <is>
          <t>Owner</t>
        </is>
      </c>
    </row>
    <row r="4">
      <c r="A4" t="inlineStr">
        <is>
          <t>INI-001</t>
        </is>
      </c>
      <c r="B4" t="inlineStr">
        <is>
          <t>Excel Cortex v2</t>
        </is>
      </c>
      <c r="C4" t="inlineStr">
        <is>
          <t>Complete rebuild of master spreadsheet</t>
        </is>
      </c>
      <c r="D4" t="inlineStr">
        <is>
          <t>Active</t>
        </is>
      </c>
      <c r="E4" t="inlineStr">
        <is>
          <t>P0</t>
        </is>
      </c>
      <c r="F4" t="inlineStr">
        <is>
          <t>Derek</t>
        </is>
      </c>
    </row>
    <row r="5">
      <c r="A5" t="inlineStr">
        <is>
          <t>INI-002</t>
        </is>
      </c>
      <c r="B5" t="inlineStr">
        <is>
          <t>Marketing Automation</t>
        </is>
      </c>
      <c r="C5" t="inlineStr">
        <is>
          <t>n8n + AI workflow to replace marketing director</t>
        </is>
      </c>
      <c r="D5" t="inlineStr">
        <is>
          <t>Planned</t>
        </is>
      </c>
      <c r="E5" t="inlineStr">
        <is>
          <t>P1</t>
        </is>
      </c>
      <c r="F5" t="inlineStr">
        <is>
          <t>Derek</t>
        </is>
      </c>
    </row>
    <row r="6">
      <c r="A6" t="inlineStr">
        <is>
          <t>INI-003</t>
        </is>
      </c>
      <c r="B6" t="inlineStr">
        <is>
          <t>Website Conversion Fix</t>
        </is>
      </c>
      <c r="C6" t="inlineStr">
        <is>
          <t>Add inquiry forms to website</t>
        </is>
      </c>
      <c r="D6" t="inlineStr">
        <is>
          <t>Planned</t>
        </is>
      </c>
      <c r="E6" t="inlineStr">
        <is>
          <t>P1</t>
        </is>
      </c>
      <c r="F6" t="inlineStr">
        <is>
          <t>TBD</t>
        </is>
      </c>
    </row>
    <row r="7">
      <c r="A7" t="inlineStr">
        <is>
          <t>INI-004</t>
        </is>
      </c>
      <c r="B7" t="inlineStr">
        <is>
          <t>Pinterest Revival</t>
        </is>
      </c>
      <c r="C7" t="inlineStr">
        <is>
          <t>Reactivate Pinterest presence</t>
        </is>
      </c>
      <c r="D7" t="inlineStr">
        <is>
          <t>Planned</t>
        </is>
      </c>
      <c r="E7" t="inlineStr">
        <is>
          <t>P2</t>
        </is>
      </c>
      <c r="F7" t="inlineStr">
        <is>
          <t>TBD</t>
        </is>
      </c>
    </row>
  </sheetData>
  <dataValidations count="2">
    <dataValidation sqref="D3:D6" showDropDown="0" showInputMessage="0" showErrorMessage="0" allowBlank="1" type="list">
      <formula1>"Active,Blocked,Complete,Planned"</formula1>
    </dataValidation>
    <dataValidation sqref="E3:E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4">
        <f>HYPERLINK("#DASHBOARD!A1", "← Dashboard")</f>
        <v/>
      </c>
    </row>
    <row r="2">
      <c r="A2" s="3" t="inlineStr">
        <is>
          <t>Reference Information</t>
        </is>
      </c>
    </row>
    <row r="3"/>
    <row r="4">
      <c r="A4" s="6" t="inlineStr">
        <is>
          <t>Service Charges</t>
        </is>
      </c>
    </row>
    <row r="5">
      <c r="A5" t="inlineStr">
        <is>
          <t>Wedding Packages: 8.25% sales tax + 18% service charge</t>
        </is>
      </c>
    </row>
    <row r="6">
      <c r="A6" t="inlineStr">
        <is>
          <t>Saloon &amp; Town Merry: 8.25% sales tax + 20% service charge</t>
        </is>
      </c>
    </row>
    <row r="7">
      <c r="A7" t="inlineStr">
        <is>
          <t>Reception Hall Events: 8.25% sales tax + 20% service charge</t>
        </is>
      </c>
    </row>
    <row r="8">
      <c r="A8" t="inlineStr">
        <is>
          <t>Catering (all): 8.25% sales tax + 18% service charge</t>
        </is>
      </c>
    </row>
    <row r="9"/>
    <row r="10">
      <c r="A10" s="6" t="inlineStr">
        <is>
          <t>Payment Terms</t>
        </is>
      </c>
    </row>
    <row r="11">
      <c r="A11" t="inlineStr">
        <is>
          <t>Final guest count due: 10 days before event</t>
        </is>
      </c>
    </row>
    <row r="12">
      <c r="A12" t="inlineStr">
        <is>
          <t>Final payment due: 7 days before event</t>
        </is>
      </c>
    </row>
    <row r="13">
      <c r="A13" t="inlineStr">
        <is>
          <t>Credit card processing fee: 4%</t>
        </is>
      </c>
    </row>
    <row r="14">
      <c r="A14" t="inlineStr">
        <is>
          <t>Cash, check, money order accepted</t>
        </is>
      </c>
    </row>
    <row r="15"/>
    <row r="16">
      <c r="A16" s="6" t="inlineStr">
        <is>
          <t>Domains</t>
        </is>
      </c>
    </row>
    <row r="17">
      <c r="A17" t="inlineStr">
        <is>
          <t>silversycamore.com - Primary</t>
        </is>
      </c>
    </row>
    <row r="18">
      <c r="A18" t="inlineStr">
        <is>
          <t>silversycamoreweddings.com - Wedding-focused</t>
        </is>
      </c>
    </row>
    <row r="19">
      <c r="A19" t="inlineStr">
        <is>
          <t>silversycamorevenue.com - Venue-focused</t>
        </is>
      </c>
    </row>
    <row r="20">
      <c r="A20" t="inlineStr">
        <is>
          <t>sycamoreville.com - Property/brand</t>
        </is>
      </c>
    </row>
    <row r="21"/>
    <row r="22">
      <c r="A22" s="6" t="inlineStr">
        <is>
          <t>Property Address</t>
        </is>
      </c>
    </row>
    <row r="23">
      <c r="A23" t="inlineStr">
        <is>
          <t>5111 Pine Street, Pasadena, TX 77503</t>
        </is>
      </c>
    </row>
    <row r="24">
      <c r="A24" t="inlineStr">
        <is>
          <t>(281) 487-4033</t>
        </is>
      </c>
    </row>
    <row r="25"/>
    <row r="26">
      <c r="A26" s="9" t="inlineStr">
        <is>
          <t>WEDDING PACKAGE COMPARISON</t>
        </is>
      </c>
    </row>
    <row r="27"/>
    <row r="28">
      <c r="A28" s="10" t="inlineStr">
        <is>
          <t>Package</t>
        </is>
      </c>
      <c r="B28" s="10" t="inlineStr">
        <is>
          <t>Best For</t>
        </is>
      </c>
      <c r="C28" s="10" t="inlineStr">
        <is>
          <t>Price Range</t>
        </is>
      </c>
      <c r="D28" s="10" t="inlineStr">
        <is>
          <t>Guest Count</t>
        </is>
      </c>
      <c r="E28" s="10" t="inlineStr">
        <is>
          <t>Duration</t>
        </is>
      </c>
      <c r="F28" s="10" t="inlineStr">
        <is>
          <t>Key Features</t>
        </is>
      </c>
    </row>
    <row r="29">
      <c r="A29" s="8" t="inlineStr">
        <is>
          <t>Dream Package</t>
        </is>
      </c>
      <c r="B29" s="8" t="inlineStr">
        <is>
          <t>Full weddings 100+ guests</t>
        </is>
      </c>
      <c r="C29" s="8" t="inlineStr">
        <is>
          <t>$12,900</t>
        </is>
      </c>
      <c r="D29" s="8" t="inlineStr">
        <is>
          <t>100+</t>
        </is>
      </c>
      <c r="E29" s="8" t="inlineStr">
        <is>
          <t>5 hrs</t>
        </is>
      </c>
      <c r="F29" s="8" t="inlineStr">
        <is>
          <t>Ceremony + reception, all spaces</t>
        </is>
      </c>
    </row>
    <row r="30">
      <c r="A30" s="8" t="inlineStr">
        <is>
          <t>Reception Only</t>
        </is>
      </c>
      <c r="B30" s="8" t="inlineStr">
        <is>
          <t>Ceremony elsewhere</t>
        </is>
      </c>
      <c r="C30" s="8" t="inlineStr">
        <is>
          <t>$11,400</t>
        </is>
      </c>
      <c r="D30" s="8" t="inlineStr">
        <is>
          <t>100+</t>
        </is>
      </c>
      <c r="E30" s="8" t="inlineStr">
        <is>
          <t>4 hrs</t>
        </is>
      </c>
      <c r="F30" s="8" t="inlineStr">
        <is>
          <t>Reception hall only</t>
        </is>
      </c>
    </row>
    <row r="31">
      <c r="A31" s="8" t="inlineStr">
        <is>
          <t>Simple Elegance</t>
        </is>
      </c>
      <c r="B31" s="8" t="inlineStr">
        <is>
          <t>Mid-size weddings</t>
        </is>
      </c>
      <c r="C31" s="8" t="inlineStr">
        <is>
          <t>$7,800-$8,800</t>
        </is>
      </c>
      <c r="D31" s="8" t="inlineStr">
        <is>
          <t>50+</t>
        </is>
      </c>
      <c r="E31" s="8" t="inlineStr">
        <is>
          <t>3.5 hrs</t>
        </is>
      </c>
      <c r="F31" s="8" t="inlineStr">
        <is>
          <t>Ceremony + reception, smaller</t>
        </is>
      </c>
    </row>
    <row r="32">
      <c r="A32" s="8" t="inlineStr">
        <is>
          <t>Micro Wedding</t>
        </is>
      </c>
      <c r="B32" s="8" t="inlineStr">
        <is>
          <t>Intimate gatherings</t>
        </is>
      </c>
      <c r="C32" s="8" t="inlineStr">
        <is>
          <t>$3,200-$4,200</t>
        </is>
      </c>
      <c r="D32" s="8" t="inlineStr">
        <is>
          <t>20+</t>
        </is>
      </c>
      <c r="E32" s="8" t="inlineStr">
        <is>
          <t>2.5 hrs</t>
        </is>
      </c>
      <c r="F32" s="8" t="inlineStr">
        <is>
          <t>Saloon &amp; Town spaces</t>
        </is>
      </c>
    </row>
    <row r="33"/>
    <row r="34"/>
    <row r="35">
      <c r="A35" s="9" t="inlineStr">
        <is>
          <t>CATERING PACKAGES</t>
        </is>
      </c>
    </row>
    <row r="36"/>
    <row r="37">
      <c r="A37" s="10" t="inlineStr">
        <is>
          <t>Package</t>
        </is>
      </c>
      <c r="B37" s="10" t="inlineStr">
        <is>
          <t>Price/Person</t>
        </is>
      </c>
      <c r="C37" s="10" t="inlineStr">
        <is>
          <t>Style</t>
        </is>
      </c>
      <c r="D37" s="10" t="inlineStr">
        <is>
          <t>Description</t>
        </is>
      </c>
    </row>
    <row r="38">
      <c r="A38" t="inlineStr">
        <is>
          <t>All the Possibilities</t>
        </is>
      </c>
      <c r="B38" t="inlineStr">
        <is>
          <t>$22</t>
        </is>
      </c>
      <c r="C38" t="inlineStr">
        <is>
          <t>Buffet</t>
        </is>
      </c>
      <c r="D38" t="inlineStr">
        <is>
          <t>Pasta-focused options</t>
        </is>
      </c>
    </row>
    <row r="39">
      <c r="A39" t="inlineStr">
        <is>
          <t>Sycamore Comfort</t>
        </is>
      </c>
      <c r="B39" t="inlineStr">
        <is>
          <t>$25</t>
        </is>
      </c>
      <c r="C39" t="inlineStr">
        <is>
          <t>Buffet</t>
        </is>
      </c>
      <c r="D39" t="inlineStr">
        <is>
          <t>Chicken entrees</t>
        </is>
      </c>
    </row>
    <row r="40">
      <c r="A40" t="inlineStr">
        <is>
          <t>Texas Tradition</t>
        </is>
      </c>
      <c r="B40" t="inlineStr">
        <is>
          <t>$27</t>
        </is>
      </c>
      <c r="C40" t="inlineStr">
        <is>
          <t>Buffet</t>
        </is>
      </c>
      <c r="D40" t="inlineStr">
        <is>
          <t>BBQ brisket + sausage</t>
        </is>
      </c>
    </row>
    <row r="41">
      <c r="A41" t="inlineStr">
        <is>
          <t>Tex Mex Party Time</t>
        </is>
      </c>
      <c r="B41" t="inlineStr">
        <is>
          <t>$35</t>
        </is>
      </c>
      <c r="C41" t="inlineStr">
        <is>
          <t>Buffet</t>
        </is>
      </c>
      <c r="D41" t="inlineStr">
        <is>
          <t>Fajitas + queso fountain</t>
        </is>
      </c>
    </row>
    <row r="42">
      <c r="A42" t="inlineStr">
        <is>
          <t>Gold Dinner</t>
        </is>
      </c>
      <c r="B42" t="inlineStr">
        <is>
          <t>$39</t>
        </is>
      </c>
      <c r="C42" t="inlineStr">
        <is>
          <t>Buffet/Plated</t>
        </is>
      </c>
      <c r="D42" t="inlineStr">
        <is>
          <t>Premium options</t>
        </is>
      </c>
    </row>
    <row r="43">
      <c r="A43" t="inlineStr">
        <is>
          <t>Platinum Dinner</t>
        </is>
      </c>
      <c r="B43" t="inlineStr">
        <is>
          <t>$44</t>
        </is>
      </c>
      <c r="C43" t="inlineStr">
        <is>
          <t>Plated</t>
        </is>
      </c>
      <c r="D43" t="inlineStr">
        <is>
          <t>Top tier, dual entrees</t>
        </is>
      </c>
    </row>
    <row r="44"/>
    <row r="45"/>
    <row r="46">
      <c r="A46" s="9" t="inlineStr">
        <is>
          <t>POPULAR ADD-ONS</t>
        </is>
      </c>
    </row>
    <row r="47"/>
    <row r="48">
      <c r="A48" s="10" t="inlineStr">
        <is>
          <t>Item</t>
        </is>
      </c>
      <c r="B48" s="10" t="inlineStr">
        <is>
          <t>Price</t>
        </is>
      </c>
      <c r="C48" s="10" t="inlineStr">
        <is>
          <t>Notes</t>
        </is>
      </c>
    </row>
    <row r="49">
      <c r="A49" t="inlineStr">
        <is>
          <t>Open Bar (50)</t>
        </is>
      </c>
      <c r="B49" t="inlineStr">
        <is>
          <t>$1,150</t>
        </is>
      </c>
      <c r="C49" t="inlineStr">
        <is>
          <t>Includes bartender + officer</t>
        </is>
      </c>
    </row>
    <row r="50">
      <c r="A50" t="inlineStr">
        <is>
          <t>Open Bar (100)</t>
        </is>
      </c>
      <c r="B50" t="inlineStr">
        <is>
          <t>$1,675</t>
        </is>
      </c>
      <c r="C50" t="inlineStr">
        <is>
          <t>Includes bartender + officer</t>
        </is>
      </c>
    </row>
    <row r="51">
      <c r="A51" t="inlineStr">
        <is>
          <t>Cash Bar</t>
        </is>
      </c>
      <c r="B51" t="inlineStr">
        <is>
          <t>$675</t>
        </is>
      </c>
      <c r="C51" t="inlineStr">
        <is>
          <t>Guests pay $5/drink</t>
        </is>
      </c>
    </row>
    <row r="52">
      <c r="A52" t="inlineStr">
        <is>
          <t>Queso Fountain</t>
        </is>
      </c>
      <c r="B52" t="inlineStr">
        <is>
          <t>$7.50/person</t>
        </is>
      </c>
      <c r="C52" t="inlineStr">
        <is>
          <t>100 guest minimum</t>
        </is>
      </c>
    </row>
    <row r="53">
      <c r="A53" t="inlineStr">
        <is>
          <t>Mimosa Bar</t>
        </is>
      </c>
      <c r="B53" t="inlineStr">
        <is>
          <t>$15/person</t>
        </is>
      </c>
      <c r="C53" t="inlineStr">
        <is>
          <t>3 juices, 3 fruits, Moscato</t>
        </is>
      </c>
    </row>
    <row r="54">
      <c r="A54" t="inlineStr">
        <is>
          <t>Dance Floor</t>
        </is>
      </c>
      <c r="B54" t="inlineStr">
        <is>
          <t>$750</t>
        </is>
      </c>
      <c r="C54" t="inlineStr">
        <is>
          <t>12x15 outdoor</t>
        </is>
      </c>
    </row>
    <row r="55">
      <c r="A55" t="inlineStr">
        <is>
          <t>Photo Booth</t>
        </is>
      </c>
      <c r="B55" t="inlineStr">
        <is>
          <t>$250</t>
        </is>
      </c>
      <c r="C55" t="inlineStr">
        <is>
          <t>Entertainment</t>
        </is>
      </c>
    </row>
    <row r="56">
      <c r="A56" t="inlineStr">
        <is>
          <t>Yard Games</t>
        </is>
      </c>
      <c r="B56" t="inlineStr">
        <is>
          <t>$1,350</t>
        </is>
      </c>
      <c r="C56" t="inlineStr">
        <is>
          <t>Complete set</t>
        </is>
      </c>
    </row>
    <row r="57">
      <c r="A57" t="inlineStr">
        <is>
          <t>Early Cottage Access</t>
        </is>
      </c>
      <c r="B57" t="inlineStr">
        <is>
          <t>$500</t>
        </is>
      </c>
      <c r="C57" t="inlineStr">
        <is>
          <t>Bridal prep from 10am</t>
        </is>
      </c>
    </row>
    <row r="58">
      <c r="A58" t="inlineStr">
        <is>
          <t>Town Sign</t>
        </is>
      </c>
      <c r="B58" t="inlineStr">
        <is>
          <t>$175</t>
        </is>
      </c>
      <c r="C58" t="inlineStr">
        <is>
          <t>Personalized welcome</t>
        </is>
      </c>
    </row>
    <row r="59"/>
    <row r="60"/>
    <row r="61">
      <c r="A61" s="9" t="inlineStr">
        <is>
          <t>BOOKING FORMS</t>
        </is>
      </c>
    </row>
    <row r="62"/>
    <row r="63">
      <c r="A63" s="10" t="inlineStr">
        <is>
          <t>Form</t>
        </is>
      </c>
      <c r="B63" s="10" t="inlineStr">
        <is>
          <t>Purpose</t>
        </is>
      </c>
      <c r="C63" s="10" t="inlineStr">
        <is>
          <t>Special Notes</t>
        </is>
      </c>
    </row>
    <row r="64">
      <c r="A64" t="inlineStr">
        <is>
          <t>Wedding Booking Form</t>
        </is>
      </c>
      <c r="B64" t="inlineStr">
        <is>
          <t>Full weddings</t>
        </is>
      </c>
      <c r="C64" t="inlineStr">
        <is>
          <t>Primary contract</t>
        </is>
      </c>
    </row>
    <row r="65">
      <c r="A65" t="inlineStr">
        <is>
          <t>Tasting Appointment</t>
        </is>
      </c>
      <c r="B65" t="inlineStr">
        <is>
          <t>Menu tastings</t>
        </is>
      </c>
      <c r="C65" t="inlineStr">
        <is>
          <t>Free for 2, $10/extra, $50 late cancel</t>
        </is>
      </c>
    </row>
    <row r="66">
      <c r="A66" t="inlineStr">
        <is>
          <t>Shower/Party Booking</t>
        </is>
      </c>
      <c r="B66" t="inlineStr">
        <is>
          <t>Showers &amp; small events</t>
        </is>
      </c>
      <c r="C66" t="inlineStr">
        <is>
          <t>Initial form</t>
        </is>
      </c>
    </row>
    <row r="67">
      <c r="A67" t="inlineStr">
        <is>
          <t>Shower/Party Contract</t>
        </is>
      </c>
      <c r="B67" t="inlineStr">
        <is>
          <t>Showers &amp; small events</t>
        </is>
      </c>
      <c r="C67" t="inlineStr">
        <is>
          <t>Contract version</t>
        </is>
      </c>
    </row>
    <row r="68">
      <c r="A68" t="inlineStr">
        <is>
          <t>Corporate Booking</t>
        </is>
      </c>
      <c r="B68" t="inlineStr">
        <is>
          <t>Business events</t>
        </is>
      </c>
      <c r="C68" t="inlineStr">
        <is>
          <t>Uses wedding contract template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50" customWidth="1" min="5" max="5"/>
    <col width="40" customWidth="1" min="6" max="6"/>
  </cols>
  <sheetData>
    <row r="1">
      <c r="A1">
        <f>HYPERLINK("#DASHBOARD!A1", "← Dashboard")</f>
        <v/>
      </c>
    </row>
    <row r="2"/>
    <row r="3">
      <c r="A3" s="6" t="inlineStr">
        <is>
          <t>Package</t>
        </is>
      </c>
      <c r="B3" s="6" t="inlineStr">
        <is>
          <t>Price Range</t>
        </is>
      </c>
      <c r="C3" s="6" t="inlineStr">
        <is>
          <t>Guests</t>
        </is>
      </c>
      <c r="D3" s="6" t="inlineStr">
        <is>
          <t>Duration</t>
        </is>
      </c>
      <c r="E3" s="6" t="inlineStr">
        <is>
          <t>What's Included</t>
        </is>
      </c>
      <c r="F3" s="6" t="inlineStr">
        <is>
          <t>Notes</t>
        </is>
      </c>
    </row>
    <row r="4">
      <c r="A4" s="8" t="inlineStr">
        <is>
          <t>Dream Package</t>
        </is>
      </c>
      <c r="B4" s="8" t="inlineStr">
        <is>
          <t>$12,900</t>
        </is>
      </c>
      <c r="C4" s="8" t="inlineStr">
        <is>
          <t>100 guests</t>
        </is>
      </c>
      <c r="D4" s="8" t="inlineStr">
        <is>
          <t>5 hours</t>
        </is>
      </c>
      <c r="E4" s="8" t="inlineStr">
        <is>
          <t>Ceremony + Reception, Main hall, White chapel, Bridal cottage, Groom jail prep area</t>
        </is>
      </c>
      <c r="F4" s="8" t="inlineStr">
        <is>
          <t>$20/person over 100, $2000 deposit</t>
        </is>
      </c>
    </row>
    <row r="5">
      <c r="A5" s="8" t="inlineStr">
        <is>
          <t>Simple Elegance</t>
        </is>
      </c>
      <c r="B5" s="8" t="inlineStr">
        <is>
          <t>$7,800 (Mon-Thu) / $8,800 (Fri-Sun)</t>
        </is>
      </c>
      <c r="C5" s="8" t="inlineStr">
        <is>
          <t>50 guests</t>
        </is>
      </c>
      <c r="D5" s="8" t="inlineStr">
        <is>
          <t>3.5 hours</t>
        </is>
      </c>
      <c r="E5" s="8" t="inlineStr">
        <is>
          <t>Ceremony + Reception, Venue spaces, Basic setup</t>
        </is>
      </c>
      <c r="F5" s="8" t="inlineStr">
        <is>
          <t>$35/person over 50, Weekday discount available</t>
        </is>
      </c>
    </row>
    <row r="6">
      <c r="A6" s="8" t="inlineStr">
        <is>
          <t>Reception Only</t>
        </is>
      </c>
      <c r="B6" s="8" t="inlineStr">
        <is>
          <t>$11,400</t>
        </is>
      </c>
      <c r="C6" s="8" t="inlineStr">
        <is>
          <t>100 guests</t>
        </is>
      </c>
      <c r="D6" s="8" t="inlineStr">
        <is>
          <t>4 hours</t>
        </is>
      </c>
      <c r="E6" s="8" t="inlineStr">
        <is>
          <t>Reception hall only, No ceremony spaces</t>
        </is>
      </c>
      <c r="F6" s="8" t="inlineStr">
        <is>
          <t>$20/person over 100, $2000 deposit</t>
        </is>
      </c>
    </row>
    <row r="7">
      <c r="A7" s="8" t="inlineStr">
        <is>
          <t>Micro Wedding</t>
        </is>
      </c>
      <c r="B7" s="8" t="inlineStr">
        <is>
          <t>$3,200 (Mon-Thu) / $4,200 (Fri-Sun)</t>
        </is>
      </c>
      <c r="C7" s="8" t="inlineStr">
        <is>
          <t>20 guests</t>
        </is>
      </c>
      <c r="D7" s="8" t="inlineStr">
        <is>
          <t>2.5 hours</t>
        </is>
      </c>
      <c r="E7" s="8" t="inlineStr">
        <is>
          <t>Saloon &amp; Town spaces, Intimate setting</t>
        </is>
      </c>
      <c r="F7" s="8" t="inlineStr">
        <is>
          <t>$35/person over 20, $1500 deposit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20" customWidth="1" min="4" max="4"/>
    <col width="20" customWidth="1" min="5" max="5"/>
    <col width="15" customWidth="1" min="6" max="6"/>
  </cols>
  <sheetData>
    <row r="1">
      <c r="A1" s="16" t="inlineStr">
        <is>
          <t>Document Name</t>
        </is>
      </c>
      <c r="B1" s="16" t="inlineStr">
        <is>
          <t>Category</t>
        </is>
      </c>
      <c r="C1" s="16" t="inlineStr">
        <is>
          <t>Type</t>
        </is>
      </c>
      <c r="D1" s="16" t="inlineStr">
        <is>
          <t>GitHub URL</t>
        </is>
      </c>
      <c r="E1" s="16" t="inlineStr">
        <is>
          <t>Source Collection</t>
        </is>
      </c>
      <c r="F1" s="16" t="inlineStr">
        <is>
          <t>Status</t>
        </is>
      </c>
    </row>
    <row r="2">
      <c r="A2" t="inlineStr">
        <is>
          <t>Wedding Booking Form</t>
        </is>
      </c>
      <c r="B2" t="inlineStr">
        <is>
          <t>Booking</t>
        </is>
      </c>
      <c r="C2" t="inlineStr">
        <is>
          <t>Markdown</t>
        </is>
      </c>
      <c r="D2" s="18" t="inlineStr">
        <is>
          <t>View</t>
        </is>
      </c>
      <c r="E2" t="inlineStr">
        <is>
          <t>2026-01-05</t>
        </is>
      </c>
      <c r="F2" t="inlineStr">
        <is>
          <t>Published</t>
        </is>
      </c>
    </row>
    <row r="3">
      <c r="A3" t="inlineStr">
        <is>
          <t>Corporate Booking Form</t>
        </is>
      </c>
      <c r="B3" t="inlineStr">
        <is>
          <t>Booking</t>
        </is>
      </c>
      <c r="C3" t="inlineStr">
        <is>
          <t>Markdown</t>
        </is>
      </c>
      <c r="D3" s="18" t="inlineStr">
        <is>
          <t>View</t>
        </is>
      </c>
      <c r="E3" t="inlineStr">
        <is>
          <t>2026-01-05</t>
        </is>
      </c>
      <c r="F3" t="inlineStr">
        <is>
          <t>Published</t>
        </is>
      </c>
    </row>
    <row r="4">
      <c r="A4" t="inlineStr">
        <is>
          <t>Shower/Small Party Booking Form</t>
        </is>
      </c>
      <c r="B4" t="inlineStr">
        <is>
          <t>Booking</t>
        </is>
      </c>
      <c r="C4" t="inlineStr">
        <is>
          <t>Markdown</t>
        </is>
      </c>
      <c r="D4" s="18" t="inlineStr">
        <is>
          <t>View</t>
        </is>
      </c>
      <c r="E4" t="inlineStr">
        <is>
          <t>2026-01-05</t>
        </is>
      </c>
      <c r="F4" t="inlineStr">
        <is>
          <t>Published</t>
        </is>
      </c>
    </row>
    <row r="5">
      <c r="A5" t="inlineStr">
        <is>
          <t>Shower/Small Party Contract Package</t>
        </is>
      </c>
      <c r="B5" t="inlineStr">
        <is>
          <t>Booking</t>
        </is>
      </c>
      <c r="C5" t="inlineStr">
        <is>
          <t>Markdown</t>
        </is>
      </c>
      <c r="D5" s="18" t="inlineStr">
        <is>
          <t>View</t>
        </is>
      </c>
      <c r="E5" t="inlineStr">
        <is>
          <t>2026-01-05</t>
        </is>
      </c>
      <c r="F5" t="inlineStr">
        <is>
          <t>Published</t>
        </is>
      </c>
    </row>
    <row r="6">
      <c r="A6" t="inlineStr">
        <is>
          <t>Salon &amp; Town Merry Package</t>
        </is>
      </c>
      <c r="B6" t="inlineStr">
        <is>
          <t>Wedding Package</t>
        </is>
      </c>
      <c r="C6" t="inlineStr">
        <is>
          <t>Markdown</t>
        </is>
      </c>
      <c r="D6" s="18" t="inlineStr">
        <is>
          <t>View</t>
        </is>
      </c>
      <c r="E6" t="inlineStr">
        <is>
          <t>2026-01-05</t>
        </is>
      </c>
      <c r="F6" t="inlineStr">
        <is>
          <t>Published</t>
        </is>
      </c>
    </row>
    <row r="7">
      <c r="A7" t="inlineStr">
        <is>
          <t>Simple Elegance Package</t>
        </is>
      </c>
      <c r="B7" t="inlineStr">
        <is>
          <t>Wedding Package</t>
        </is>
      </c>
      <c r="C7" t="inlineStr">
        <is>
          <t>Markdown</t>
        </is>
      </c>
      <c r="D7" s="18" t="inlineStr">
        <is>
          <t>View</t>
        </is>
      </c>
      <c r="E7" t="inlineStr">
        <is>
          <t>2026-01-05</t>
        </is>
      </c>
      <c r="F7" t="inlineStr">
        <is>
          <t>Published</t>
        </is>
      </c>
    </row>
    <row r="8">
      <c r="A8" t="inlineStr">
        <is>
          <t>Food Truck Fun Package</t>
        </is>
      </c>
      <c r="B8" t="inlineStr">
        <is>
          <t>Wedding Package</t>
        </is>
      </c>
      <c r="C8" t="inlineStr">
        <is>
          <t>Markdown</t>
        </is>
      </c>
      <c r="D8" s="18" t="inlineStr">
        <is>
          <t>View</t>
        </is>
      </c>
      <c r="E8" t="inlineStr">
        <is>
          <t>2026-01-05</t>
        </is>
      </c>
      <c r="F8" t="inlineStr">
        <is>
          <t>Published</t>
        </is>
      </c>
    </row>
    <row r="9">
      <c r="A9" t="inlineStr">
        <is>
          <t>Dream Package</t>
        </is>
      </c>
      <c r="B9" t="inlineStr">
        <is>
          <t>Wedding Package</t>
        </is>
      </c>
      <c r="C9" t="inlineStr">
        <is>
          <t>Markdown</t>
        </is>
      </c>
      <c r="D9" s="18" t="inlineStr">
        <is>
          <t>View</t>
        </is>
      </c>
      <c r="E9" t="inlineStr">
        <is>
          <t>2026-01-05</t>
        </is>
      </c>
      <c r="F9" t="inlineStr">
        <is>
          <t>Published</t>
        </is>
      </c>
    </row>
    <row r="10">
      <c r="A10" t="inlineStr">
        <is>
          <t>Reception Only Package</t>
        </is>
      </c>
      <c r="B10" t="inlineStr">
        <is>
          <t>Wedding Package</t>
        </is>
      </c>
      <c r="C10" t="inlineStr">
        <is>
          <t>Markdown</t>
        </is>
      </c>
      <c r="D10" s="18" t="inlineStr">
        <is>
          <t>View</t>
        </is>
      </c>
      <c r="E10" t="inlineStr">
        <is>
          <t>2026-01-05</t>
        </is>
      </c>
      <c r="F10" t="inlineStr">
        <is>
          <t>Published</t>
        </is>
      </c>
    </row>
    <row r="11">
      <c r="A11" t="inlineStr">
        <is>
          <t>Reception Hall Party Packages</t>
        </is>
      </c>
      <c r="B11" t="inlineStr">
        <is>
          <t>Reception Package</t>
        </is>
      </c>
      <c r="C11" t="inlineStr">
        <is>
          <t>Markdown</t>
        </is>
      </c>
      <c r="D11" s="18" t="inlineStr">
        <is>
          <t>View</t>
        </is>
      </c>
      <c r="E11" t="inlineStr">
        <is>
          <t>2026-01-05</t>
        </is>
      </c>
      <c r="F11" t="inlineStr">
        <is>
          <t>Published</t>
        </is>
      </c>
    </row>
    <row r="12">
      <c r="A12" t="inlineStr">
        <is>
          <t>Salon Banquet Package</t>
        </is>
      </c>
      <c r="B12" t="inlineStr">
        <is>
          <t>Reception Package</t>
        </is>
      </c>
      <c r="C12" t="inlineStr">
        <is>
          <t>Markdown</t>
        </is>
      </c>
      <c r="D12" s="18" t="inlineStr">
        <is>
          <t>View</t>
        </is>
      </c>
      <c r="E12" t="inlineStr">
        <is>
          <t>2026-01-05</t>
        </is>
      </c>
      <c r="F12" t="inlineStr">
        <is>
          <t>Published</t>
        </is>
      </c>
    </row>
    <row r="13">
      <c r="A13" t="inlineStr">
        <is>
          <t>Salon Party Packages</t>
        </is>
      </c>
      <c r="B13" t="inlineStr">
        <is>
          <t>Event Package</t>
        </is>
      </c>
      <c r="C13" t="inlineStr">
        <is>
          <t>Markdown</t>
        </is>
      </c>
      <c r="D13" s="18" t="inlineStr">
        <is>
          <t>View</t>
        </is>
      </c>
      <c r="E13" t="inlineStr">
        <is>
          <t>2026-01-05</t>
        </is>
      </c>
      <c r="F13" t="inlineStr">
        <is>
          <t>Published</t>
        </is>
      </c>
    </row>
    <row r="14">
      <c r="A14" t="inlineStr">
        <is>
          <t>Company Picnic Proposal</t>
        </is>
      </c>
      <c r="B14" t="inlineStr">
        <is>
          <t>Event Package</t>
        </is>
      </c>
      <c r="C14" t="inlineStr">
        <is>
          <t>Markdown</t>
        </is>
      </c>
      <c r="D14" s="18" t="inlineStr">
        <is>
          <t>View</t>
        </is>
      </c>
      <c r="E14" t="inlineStr">
        <is>
          <t>2026-01-05</t>
        </is>
      </c>
      <c r="F14" t="inlineStr">
        <is>
          <t>Published</t>
        </is>
      </c>
    </row>
    <row r="15">
      <c r="A15" t="inlineStr">
        <is>
          <t>Wedding Catering Menu</t>
        </is>
      </c>
      <c r="B15" t="inlineStr">
        <is>
          <t>Catering</t>
        </is>
      </c>
      <c r="C15" t="inlineStr">
        <is>
          <t>Markdown</t>
        </is>
      </c>
      <c r="D15" s="18" t="inlineStr">
        <is>
          <t>View</t>
        </is>
      </c>
      <c r="E15" t="inlineStr">
        <is>
          <t>2026-01-05</t>
        </is>
      </c>
      <c r="F15" t="inlineStr">
        <is>
          <t>Published</t>
        </is>
      </c>
    </row>
    <row r="16">
      <c r="A16" t="inlineStr">
        <is>
          <t>Wedding Add-Ons</t>
        </is>
      </c>
      <c r="B16" t="inlineStr">
        <is>
          <t>Add-on</t>
        </is>
      </c>
      <c r="C16" t="inlineStr">
        <is>
          <t>Markdown</t>
        </is>
      </c>
      <c r="D16" s="18" t="inlineStr">
        <is>
          <t>View</t>
        </is>
      </c>
      <c r="E16" t="inlineStr">
        <is>
          <t>2026-01-05</t>
        </is>
      </c>
      <c r="F16" t="inlineStr">
        <is>
          <t>Published</t>
        </is>
      </c>
    </row>
    <row r="17">
      <c r="A17" t="inlineStr">
        <is>
          <t>Salon Event Add-Ons</t>
        </is>
      </c>
      <c r="B17" t="inlineStr">
        <is>
          <t>Add-on</t>
        </is>
      </c>
      <c r="C17" t="inlineStr">
        <is>
          <t>Markdown</t>
        </is>
      </c>
      <c r="D17" s="18" t="inlineStr">
        <is>
          <t>View</t>
        </is>
      </c>
      <c r="E17" t="inlineStr">
        <is>
          <t>2026-01-05</t>
        </is>
      </c>
      <c r="F17" t="inlineStr">
        <is>
          <t>Published</t>
        </is>
      </c>
    </row>
    <row r="18">
      <c r="A18" t="inlineStr">
        <is>
          <t>Waitstaff Training Program</t>
        </is>
      </c>
      <c r="B18" t="inlineStr">
        <is>
          <t>Training</t>
        </is>
      </c>
      <c r="C18" t="inlineStr">
        <is>
          <t>Markdown</t>
        </is>
      </c>
      <c r="D18" s="18" t="inlineStr">
        <is>
          <t>View</t>
        </is>
      </c>
      <c r="E18" t="inlineStr">
        <is>
          <t>2026-01-12</t>
        </is>
      </c>
      <c r="F18" t="inlineStr">
        <is>
          <t>Published</t>
        </is>
      </c>
    </row>
    <row r="19">
      <c r="A19" t="inlineStr">
        <is>
          <t>Admin Training Manual</t>
        </is>
      </c>
      <c r="B19" t="inlineStr">
        <is>
          <t>Training</t>
        </is>
      </c>
      <c r="C19" t="inlineStr">
        <is>
          <t>Markdown</t>
        </is>
      </c>
      <c r="D19" s="18" t="inlineStr">
        <is>
          <t>View</t>
        </is>
      </c>
      <c r="E19" t="inlineStr">
        <is>
          <t>2026-01-05</t>
        </is>
      </c>
      <c r="F19" t="inlineStr">
        <is>
          <t>Published</t>
        </is>
      </c>
    </row>
    <row r="20">
      <c r="A20" t="inlineStr">
        <is>
          <t>Training Schedule</t>
        </is>
      </c>
      <c r="B20" t="inlineStr">
        <is>
          <t>Training</t>
        </is>
      </c>
      <c r="C20" t="inlineStr">
        <is>
          <t>Markdown</t>
        </is>
      </c>
      <c r="D20" s="18" t="inlineStr">
        <is>
          <t>View</t>
        </is>
      </c>
      <c r="E20" t="inlineStr">
        <is>
          <t>2026-01-05</t>
        </is>
      </c>
      <c r="F20" t="inlineStr">
        <is>
          <t>Published</t>
        </is>
      </c>
    </row>
    <row r="21">
      <c r="A21" t="inlineStr">
        <is>
          <t>Phone Sales Script</t>
        </is>
      </c>
      <c r="B21" t="inlineStr">
        <is>
          <t>Training</t>
        </is>
      </c>
      <c r="C21" t="inlineStr">
        <is>
          <t>Markdown</t>
        </is>
      </c>
      <c r="D21" s="18" t="inlineStr">
        <is>
          <t>View</t>
        </is>
      </c>
      <c r="E21" t="inlineStr">
        <is>
          <t>2026-01-05</t>
        </is>
      </c>
      <c r="F21" t="inlineStr">
        <is>
          <t>Published</t>
        </is>
      </c>
    </row>
    <row r="22">
      <c r="A22" t="inlineStr">
        <is>
          <t>Points of Service (23 Steps)</t>
        </is>
      </c>
      <c r="B22" t="inlineStr">
        <is>
          <t>Operations</t>
        </is>
      </c>
      <c r="C22" t="inlineStr">
        <is>
          <t>Markdown</t>
        </is>
      </c>
      <c r="D22" s="18" t="inlineStr">
        <is>
          <t>View</t>
        </is>
      </c>
      <c r="E22" t="inlineStr">
        <is>
          <t>2026-01-12</t>
        </is>
      </c>
      <c r="F22" t="inlineStr">
        <is>
          <t>Published</t>
        </is>
      </c>
    </row>
    <row r="23">
      <c r="A23" t="inlineStr">
        <is>
          <t>Daily Closing Procedures</t>
        </is>
      </c>
      <c r="B23" t="inlineStr">
        <is>
          <t>Operations</t>
        </is>
      </c>
      <c r="C23" t="inlineStr">
        <is>
          <t>Markdown</t>
        </is>
      </c>
      <c r="D23" s="18" t="inlineStr">
        <is>
          <t>View</t>
        </is>
      </c>
      <c r="E23" t="inlineStr">
        <is>
          <t>2026-01-12</t>
        </is>
      </c>
      <c r="F23" t="inlineStr">
        <is>
          <t>Published</t>
        </is>
      </c>
    </row>
    <row r="24">
      <c r="A24" t="inlineStr">
        <is>
          <t>Phone System Guide</t>
        </is>
      </c>
      <c r="B24" t="inlineStr">
        <is>
          <t>Operations</t>
        </is>
      </c>
      <c r="C24" t="inlineStr">
        <is>
          <t>Markdown</t>
        </is>
      </c>
      <c r="D24" s="18" t="inlineStr">
        <is>
          <t>View</t>
        </is>
      </c>
      <c r="E24" t="inlineStr">
        <is>
          <t>2026-01-05</t>
        </is>
      </c>
      <c r="F24" t="inlineStr">
        <is>
          <t>Published</t>
        </is>
      </c>
    </row>
    <row r="25">
      <c r="A25" t="inlineStr">
        <is>
          <t>HR Forms (Time-Off &amp; Warning)</t>
        </is>
      </c>
      <c r="B25" t="inlineStr">
        <is>
          <t>HR</t>
        </is>
      </c>
      <c r="C25" t="inlineStr">
        <is>
          <t>Markdown</t>
        </is>
      </c>
      <c r="D25" s="18" t="inlineStr">
        <is>
          <t>View</t>
        </is>
      </c>
      <c r="E25" t="inlineStr">
        <is>
          <t>2026-01-12</t>
        </is>
      </c>
      <c r="F25" t="inlineStr">
        <is>
          <t>Published</t>
        </is>
      </c>
    </row>
    <row r="26">
      <c r="A26" t="inlineStr">
        <is>
          <t>Maintenance Schedule</t>
        </is>
      </c>
      <c r="B26" t="inlineStr">
        <is>
          <t>Facilities</t>
        </is>
      </c>
      <c r="C26" t="inlineStr">
        <is>
          <t>Markdown</t>
        </is>
      </c>
      <c r="D26" s="18" t="inlineStr">
        <is>
          <t>View</t>
        </is>
      </c>
      <c r="E26" t="inlineStr">
        <is>
          <t>2026-01-12</t>
        </is>
      </c>
      <c r="F26" t="inlineStr">
        <is>
          <t>Published</t>
        </is>
      </c>
    </row>
    <row r="27">
      <c r="A27" t="inlineStr">
        <is>
          <t>Vendor Contact Lists</t>
        </is>
      </c>
      <c r="B27" t="inlineStr">
        <is>
          <t>Contacts</t>
        </is>
      </c>
      <c r="C27" t="inlineStr">
        <is>
          <t>Excluded</t>
        </is>
      </c>
      <c r="D27" t="inlineStr">
        <is>
          <t>—</t>
        </is>
      </c>
      <c r="E27" t="inlineStr">
        <is>
          <t>2026-01-05</t>
        </is>
      </c>
      <c r="F27" t="inlineStr">
        <is>
          <t>Excluded (Sensitive)</t>
        </is>
      </c>
    </row>
    <row r="28"/>
    <row r="29">
      <c r="A29" t="inlineStr">
        <is>
          <t>Template Files (DOCX/XLSX/PDF)</t>
        </is>
      </c>
      <c r="B29" t="inlineStr">
        <is>
          <t>Templates</t>
        </is>
      </c>
      <c r="C29" t="inlineStr">
        <is>
          <t>Various</t>
        </is>
      </c>
      <c r="D29" s="18" t="inlineStr">
        <is>
          <t>View Templates</t>
        </is>
      </c>
      <c r="E29" t="inlineStr">
        <is>
          <t>2026-01-02</t>
        </is>
      </c>
      <c r="F29" t="inlineStr">
        <is>
          <t>Published (62 files)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2026-01-06T01:52:42Z</dcterms:created>
  <dcterms:modified xsi:type="dcterms:W3CDTF">2026-01-13T05:04:33Z</dcterms:modified>
</cp:coreProperties>
</file>